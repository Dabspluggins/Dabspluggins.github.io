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drawings/drawing7.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d.docs.live.net/AC8D67680180423E/Desktop/My Excel jobs/"/>
    </mc:Choice>
  </mc:AlternateContent>
  <xr:revisionPtr revIDLastSave="1572" documentId="8_{48B9C666-57AE-4E05-BF8F-B2AD518969E6}" xr6:coauthVersionLast="47" xr6:coauthVersionMax="47" xr10:uidLastSave="{90983791-A941-408E-AB4F-3C308595A831}"/>
  <bookViews>
    <workbookView xWindow="-110" yWindow="-110" windowWidth="19420" windowHeight="10300" firstSheet="5" activeTab="10" xr2:uid="{29E162DF-3F57-4911-B04C-9D6F3FA6EF71}"/>
  </bookViews>
  <sheets>
    <sheet name="Revenue by Day of the Week" sheetId="3" r:id="rId1"/>
    <sheet name="Revenue by Retailer" sheetId="4" r:id="rId2"/>
    <sheet name="Revenue By sales Method" sheetId="5" r:id="rId3"/>
    <sheet name="Revenue By Product by Region" sheetId="6" r:id="rId4"/>
    <sheet name="Revenue By year By Month" sheetId="7" r:id="rId5"/>
    <sheet name="Revenue By Year" sheetId="9" r:id="rId6"/>
    <sheet name="Sheet1" sheetId="14" r:id="rId7"/>
    <sheet name="KPI" sheetId="11" r:id="rId8"/>
    <sheet name="Dataset" sheetId="2" r:id="rId9"/>
    <sheet name="Sheet11" sheetId="12" r:id="rId10"/>
    <sheet name="Marina Mall Dashboard" sheetId="13" r:id="rId11"/>
  </sheets>
  <definedNames>
    <definedName name="_xlcn.WorksheetConnection_MarianaStoreJCleaneddata.xlsxSheet11" hidden="1">Sheet1[]</definedName>
    <definedName name="ExternalData_1" localSheetId="8" hidden="1">Dataset!$A$1:$K$351</definedName>
    <definedName name="ExternalData_1" localSheetId="6" hidden="1">Sheet1!$A$3:$K$353</definedName>
    <definedName name="Slicer_Product">#N/A</definedName>
    <definedName name="Slicer_Region">#N/A</definedName>
    <definedName name="Slicer_Retailer">#N/A</definedName>
    <definedName name="Slicer_Sales_Method">#N/A</definedName>
  </definedNames>
  <calcPr calcId="191029"/>
  <pivotCaches>
    <pivotCache cacheId="0" r:id="rId12"/>
    <pivotCache cacheId="1" r:id="rId13"/>
    <pivotCache cacheId="2" r:id="rId14"/>
    <pivotCache cacheId="3" r:id="rId15"/>
    <pivotCache cacheId="4" r:id="rId16"/>
    <pivotCache cacheId="5" r:id="rId17"/>
    <pivotCache cacheId="16" r:id="rId18"/>
  </pivotCaches>
  <extLst>
    <ext xmlns:x14="http://schemas.microsoft.com/office/spreadsheetml/2009/9/main" uri="{876F7934-8845-4945-9796-88D515C7AA90}">
      <x14:pivotCaches>
        <pivotCache cacheId="7"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Mariana Store^J Cleaned data.xlsx!Sheet1"/>
          <x15:modelTable id="Calendar" name="Calendar" connection="Connection"/>
        </x15:modelTables>
        <x15:modelRelationships>
          <x15:modelRelationship fromTable="Sheet1" fromColumn="Invoice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1" l="1"/>
  <c r="E8" i="11"/>
  <c r="D8" i="11"/>
  <c r="B8" i="11"/>
  <c r="F4" i="9"/>
  <c r="F3" i="9"/>
  <c r="J3" i="9"/>
  <c r="C8" i="11"/>
  <c r="J4" i="9"/>
  <c r="H15" i="6"/>
  <c r="B15" i="6"/>
  <c r="G19" i="6"/>
  <c r="N6" i="6"/>
  <c r="F21" i="6"/>
  <c r="T8" i="6"/>
  <c r="F20" i="6"/>
  <c r="F18" i="6"/>
  <c r="G15" i="6"/>
  <c r="N5" i="6"/>
  <c r="T9" i="6"/>
  <c r="T5" i="6"/>
  <c r="K7" i="6"/>
  <c r="Q5" i="6"/>
  <c r="Q7" i="6"/>
  <c r="E15" i="6"/>
  <c r="D15" i="6"/>
  <c r="C15" i="6"/>
  <c r="K8" i="6"/>
  <c r="G18" i="6"/>
  <c r="G21" i="6"/>
  <c r="Q8" i="6"/>
  <c r="G22" i="6"/>
  <c r="N9" i="6"/>
  <c r="K5" i="6"/>
  <c r="T7" i="6"/>
  <c r="K9" i="6"/>
  <c r="N7" i="6"/>
  <c r="Q9" i="6"/>
  <c r="Q6" i="6"/>
  <c r="T6" i="6"/>
  <c r="F19" i="6"/>
  <c r="G20" i="6"/>
  <c r="F15" i="6"/>
  <c r="N8" i="6"/>
  <c r="K6" i="6"/>
  <c r="F22" i="6"/>
  <c r="G2" i="9" l="1"/>
  <c r="R4" i="6" a="1"/>
  <c r="R4" i="6" s="1"/>
  <c r="O4" i="6" a="1"/>
  <c r="O4" i="6" s="1"/>
  <c r="L4" i="6" a="1"/>
  <c r="L4" i="6" s="1"/>
  <c r="U4" i="6" a="1"/>
  <c r="U4" i="6" s="1"/>
  <c r="U6" i="6" l="1"/>
  <c r="U7" i="6"/>
  <c r="U8" i="6"/>
  <c r="U9" i="6"/>
  <c r="U5" i="6"/>
  <c r="O6" i="6"/>
  <c r="O7" i="6"/>
  <c r="O8" i="6"/>
  <c r="O9" i="6"/>
  <c r="O5" i="6"/>
  <c r="L8" i="6"/>
  <c r="L5" i="6"/>
  <c r="L9" i="6"/>
  <c r="L7" i="6"/>
  <c r="L6" i="6"/>
  <c r="G4" i="9"/>
  <c r="G3" i="9"/>
  <c r="R6" i="6"/>
  <c r="R7" i="6"/>
  <c r="R8" i="6"/>
  <c r="R9" i="6"/>
  <c r="R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EEEE02-CD18-4BCE-B7E2-367BC720EB9E}" name="Connection" type="104" refreshedVersion="0" saveData="1">
    <extLst>
      <ext xmlns:x15="http://schemas.microsoft.com/office/spreadsheetml/2010/11/main" uri="{DE250136-89BD-433C-8126-D09CA5730AF9}">
        <x15:connection id="Calendar"/>
      </ext>
    </extLst>
  </connection>
  <connection id="2" xr16:uid="{C48A3BC3-FFE3-4BA5-9C96-2F8B8D93A982}" keepAlive="1" name="ModelConnection_ExternalData_1" description="Data Model" type="5" refreshedVersion="8" minRefreshableVersion="5" saveData="1">
    <dbPr connection="Data Model Connection" command="DRILLTHROUGH MAXROWS 1000 SELECT FROM [Model] WHERE ([Measures].[YOY Growth Rate]) RETURN [$Sheet1].[Retailer ID],[$Sheet1].[Retailer],[$Sheet1].[Invoice Date],[$Sheet1].[Region],[$Sheet1].[State],[$Sheet1].[City],[$Sheet1].[Product],[$Sheet1].[Price per Unit],[$Sheet1].[Units Sold],[$Sheet1].[Revenue],[$Sheet1].[Sales Method]" commandType="4"/>
    <extLst>
      <ext xmlns:x15="http://schemas.microsoft.com/office/spreadsheetml/2010/11/main" uri="{DE250136-89BD-433C-8126-D09CA5730AF9}">
        <x15:connection id="" model="1"/>
      </ext>
    </extLst>
  </connection>
  <connection id="3" xr16:uid="{8D739ECB-D7D5-4926-A716-8A128BB4457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4" xr16:uid="{16E36C19-6CA6-42EF-9550-47654229E1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F573B5BF-729D-4300-9A06-C97141A1AE9E}" name="WorksheetConnection_Mariana Store^J Cleaned data.xlsx!Sheet1" type="102" refreshedVersion="8" minRefreshableVersion="5">
    <extLst>
      <ext xmlns:x15="http://schemas.microsoft.com/office/spreadsheetml/2010/11/main" uri="{DE250136-89BD-433C-8126-D09CA5730AF9}">
        <x15:connection id="Sheet1">
          <x15:rangePr sourceName="_xlcn.WorksheetConnection_MarianaStoreJCleaneddata.xlsxSheet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<sst xmlns="http://schemas.openxmlformats.org/spreadsheetml/2006/main" count="4988" uniqueCount="435">
  <si>
    <t>Retailer ID</t>
  </si>
  <si>
    <t>Retailer</t>
  </si>
  <si>
    <t>Invoice Date</t>
  </si>
  <si>
    <t>Region</t>
  </si>
  <si>
    <t>State</t>
  </si>
  <si>
    <t>City</t>
  </si>
  <si>
    <t>Product</t>
  </si>
  <si>
    <t>Price per Unit</t>
  </si>
  <si>
    <t>Units Sold</t>
  </si>
  <si>
    <t>Revenue</t>
  </si>
  <si>
    <t>Sales Method</t>
  </si>
  <si>
    <t>1</t>
  </si>
  <si>
    <t>Mariana Stitches</t>
  </si>
  <si>
    <t>South</t>
  </si>
  <si>
    <t>Lagos</t>
  </si>
  <si>
    <t>Lagos City</t>
  </si>
  <si>
    <t>Just for Men</t>
  </si>
  <si>
    <t>Instore</t>
  </si>
  <si>
    <t>2</t>
  </si>
  <si>
    <t>Treaz Empire</t>
  </si>
  <si>
    <t>East</t>
  </si>
  <si>
    <t>Enugu</t>
  </si>
  <si>
    <t>Enugu City</t>
  </si>
  <si>
    <t>Kiddies Wear</t>
  </si>
  <si>
    <t>Outlet</t>
  </si>
  <si>
    <t>3</t>
  </si>
  <si>
    <t>Jabary Needles</t>
  </si>
  <si>
    <t>West</t>
  </si>
  <si>
    <t>Ogun</t>
  </si>
  <si>
    <t>Abeokuta</t>
  </si>
  <si>
    <t>Just for Her</t>
  </si>
  <si>
    <t>Online</t>
  </si>
  <si>
    <t>4</t>
  </si>
  <si>
    <t>Afroque Bonquet</t>
  </si>
  <si>
    <t>North</t>
  </si>
  <si>
    <t>Kano</t>
  </si>
  <si>
    <t>Kano City</t>
  </si>
  <si>
    <t>Summer Wear</t>
  </si>
  <si>
    <t>5</t>
  </si>
  <si>
    <t>Back2Shape Essentials</t>
  </si>
  <si>
    <t>Central</t>
  </si>
  <si>
    <t>Abuja</t>
  </si>
  <si>
    <t>Abuja City</t>
  </si>
  <si>
    <t>6</t>
  </si>
  <si>
    <t>Kampala Foot Wear</t>
  </si>
  <si>
    <t>7</t>
  </si>
  <si>
    <t>8</t>
  </si>
  <si>
    <t>9</t>
  </si>
  <si>
    <t>Kaduna</t>
  </si>
  <si>
    <t>Zaria</t>
  </si>
  <si>
    <t>Women's Beach Wear</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</si>
  <si>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</si>
  <si>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</si>
  <si>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</si>
  <si>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</si>
  <si>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</si>
  <si>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</si>
  <si>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</si>
  <si>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</si>
  <si>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</si>
  <si>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</si>
  <si>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</si>
  <si>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</si>
  <si>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</si>
  <si>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</si>
  <si>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</si>
  <si>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</si>
  <si>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</si>
  <si>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</si>
  <si>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</si>
  <si>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</si>
  <si>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</si>
  <si>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</si>
  <si>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</si>
  <si>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</si>
  <si>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</si>
  <si>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</si>
  <si>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</si>
  <si>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</si>
  <si>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</si>
  <si>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</si>
  <si>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</si>
  <si>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</si>
  <si>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</si>
  <si>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</si>
  <si>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</si>
  <si>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</si>
  <si>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</si>
  <si>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</si>
  <si>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</si>
  <si>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</si>
  <si>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</si>
  <si>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</si>
  <si>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</si>
  <si>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</si>
  <si>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</si>
  <si>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</si>
  <si>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</si>
  <si>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</si>
  <si>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</si>
  <si>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</si>
  <si>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</si>
  <si>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</si>
  <si>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</si>
  <si>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</si>
  <si>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</si>
  <si>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</si>
  <si>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</si>
  <si>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</si>
  <si>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</si>
  <si>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</si>
  <si>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</si>
  <si>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</si>
  <si>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</si>
  <si>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</si>
  <si>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</si>
  <si>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</si>
  <si>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</si>
  <si>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</si>
  <si>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</si>
  <si>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</si>
  <si>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</si>
  <si>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</si>
  <si>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</si>
  <si>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</si>
  <si>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</si>
  <si>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</si>
  <si>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</si>
  <si>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</si>
  <si>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</si>
  <si>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</si>
  <si>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</si>
  <si>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</si>
  <si>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</si>
  <si>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</si>
  <si>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</si>
  <si>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</si>
  <si>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</si>
  <si>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</si>
  <si>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</si>
  <si>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</si>
  <si>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</si>
  <si>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</si>
  <si>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</si>
  <si>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</si>
  <si>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</si>
  <si>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</si>
  <si>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</si>
  <si>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</si>
  <si>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</si>
  <si>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</si>
  <si>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</si>
  <si>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</si>
  <si>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</si>
  <si>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</si>
  <si>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</si>
  <si>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</si>
  <si>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</si>
  <si>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</si>
  <si>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</si>
  <si>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</si>
  <si>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</si>
  <si>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</si>
  <si>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</si>
  <si>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</si>
  <si>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</si>
  <si>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</si>
  <si>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</si>
  <si>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</si>
  <si>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</si>
  <si>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</si>
  <si>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</si>
  <si>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</si>
  <si>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</si>
  <si>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</si>
  <si>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</si>
  <si>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</si>
  <si>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</si>
  <si>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</si>
  <si>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</si>
  <si>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</si>
  <si>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</si>
  <si>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</si>
  <si>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</si>
  <si>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</si>
  <si>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</si>
  <si>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</si>
  <si>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</si>
  <si>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</si>
  <si>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</si>
  <si>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</si>
  <si>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</si>
  <si>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</si>
  <si>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</si>
  <si>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</si>
  <si>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</si>
  <si>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</si>
  <si>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</si>
  <si>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</si>
  <si>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</si>
  <si>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</si>
  <si>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</si>
  <si>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</si>
  <si>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</si>
  <si>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</si>
  <si>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</si>
  <si>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</si>
  <si>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</si>
  <si>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</si>
  <si>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</si>
  <si>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</si>
  <si>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</si>
  <si>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</si>
  <si>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</si>
  <si>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</si>
  <si>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</si>
  <si>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</si>
  <si>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</si>
  <si>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</si>
  <si>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</si>
  <si>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</si>
  <si>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</si>
  <si>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</si>
  <si>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</si>
  <si>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</si>
  <si>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</si>
  <si>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</si>
  <si>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</si>
  <si>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</si>
  <si>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</si>
  <si>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</si>
  <si>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</si>
  <si>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</si>
  <si>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</si>
  <si>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</si>
  <si>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</si>
  <si>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</si>
  <si>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</si>
  <si>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</si>
  <si>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</si>
  <si>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</si>
  <si>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</si>
  <si>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</si>
  <si>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</si>
  <si>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</si>
  <si>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</si>
  <si>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</si>
  <si>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</si>
  <si>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</si>
  <si>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</si>
  <si>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</si>
  <si>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</si>
  <si>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</si>
  <si>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</si>
  <si>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</si>
  <si>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</si>
  <si>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</si>
  <si>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</si>
  <si>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</si>
  <si>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</si>
  <si>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</si>
  <si>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</si>
  <si>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</si>
  <si>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</si>
  <si>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</si>
  <si>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</si>
  <si>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</si>
  <si>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</si>
  <si>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</si>
  <si>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</si>
  <si>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</si>
  <si>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</si>
  <si>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</si>
  <si>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</si>
  <si>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</si>
  <si>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</si>
  <si>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</si>
  <si>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</si>
  <si>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</si>
  <si>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</si>
  <si>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</si>
  <si>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</si>
  <si>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</si>
  <si>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</si>
  <si>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</si>
  <si>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</si>
  <si>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</si>
  <si>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</si>
  <si>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</si>
  <si>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</si>
  <si>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</si>
  <si>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</si>
  <si>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</si>
  <si>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</si>
  <si>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</si>
  <si>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</si>
  <si>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</si>
  <si>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</si>
  <si>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</si>
  <si>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</si>
  <si>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</si>
  <si>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</si>
  <si>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</si>
  <si>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</si>
  <si>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</si>
  <si>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</si>
  <si>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</si>
  <si>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</si>
  <si>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</si>
  <si>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</si>
  <si>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</si>
  <si>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</si>
  <si>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</si>
  <si>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</si>
  <si>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</si>
  <si>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</si>
  <si>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</si>
  <si>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</si>
  <si>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</si>
  <si>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</si>
  <si>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</si>
  <si>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</si>
  <si>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</si>
  <si>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</si>
  <si>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</si>
  <si>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</si>
  <si>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</si>
  <si>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</si>
  <si>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</si>
  <si>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</si>
  <si>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</si>
  <si>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</si>
  <si>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</si>
  <si>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</si>
  <si>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</si>
  <si>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</si>
  <si>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</si>
  <si>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</si>
  <si>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</si>
  <si>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</si>
  <si>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</si>
  <si>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</si>
  <si>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</si>
  <si>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</si>
  <si>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</si>
  <si>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</si>
  <si>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</si>
  <si>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</si>
  <si>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</si>
  <si>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</si>
  <si>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</si>
  <si>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</si>
  <si>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</si>
  <si>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</si>
  <si>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</si>
  <si>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</si>
  <si>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</si>
  <si>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</si>
  <si>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</si>
  <si>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</si>
  <si>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</si>
  <si>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</si>
  <si>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</si>
  <si>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</si>
  <si>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</si>
  <si>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</si>
  <si>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</si>
  <si>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</si>
  <si>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</si>
  <si>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</si>
  <si>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</si>
  <si>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</si>
  <si>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</si>
  <si>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</si>
  <si>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</si>
  <si>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</si>
  <si>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</si>
  <si>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</si>
  <si>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</si>
  <si>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</si>
  <si>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</si>
  <si>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</si>
  <si>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</si>
  <si>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</si>
  <si>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</si>
  <si>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</si>
  <si>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</si>
  <si>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</si>
  <si>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</si>
  <si>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</si>
  <si>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</si>
  <si>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</si>
  <si>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Sum of Revenue</t>
  </si>
  <si>
    <t>Row Labels</t>
  </si>
  <si>
    <t>Sun</t>
  </si>
  <si>
    <t>Mon</t>
  </si>
  <si>
    <t>Tue</t>
  </si>
  <si>
    <t>Wed</t>
  </si>
  <si>
    <t>Thu</t>
  </si>
  <si>
    <t>Fri</t>
  </si>
  <si>
    <t>Sat</t>
  </si>
  <si>
    <t>Grand Total</t>
  </si>
  <si>
    <t>Column Labels</t>
  </si>
  <si>
    <t>Jan</t>
  </si>
  <si>
    <t>Feb</t>
  </si>
  <si>
    <t>Mar</t>
  </si>
  <si>
    <t>Apr</t>
  </si>
  <si>
    <t>May</t>
  </si>
  <si>
    <t>Jun</t>
  </si>
  <si>
    <t>Jul</t>
  </si>
  <si>
    <t>Aug</t>
  </si>
  <si>
    <t>Sep</t>
  </si>
  <si>
    <t>Oct</t>
  </si>
  <si>
    <t>Nov</t>
  </si>
  <si>
    <t>Dec</t>
  </si>
  <si>
    <t>Percentage of Year Revenue</t>
  </si>
  <si>
    <t>Average of Revenue</t>
  </si>
  <si>
    <t>Sum of Units Sold</t>
  </si>
  <si>
    <t>Count of Retailer ID</t>
  </si>
  <si>
    <t>YOY Growth Rate</t>
  </si>
  <si>
    <t xml:space="preserve"> </t>
  </si>
  <si>
    <t>Sheet1[Retailer ID]</t>
  </si>
  <si>
    <t>Sheet1[Retailer]</t>
  </si>
  <si>
    <t>Sheet1[Invoice Date]</t>
  </si>
  <si>
    <t>Sheet1[Region]</t>
  </si>
  <si>
    <t>Sheet1[State]</t>
  </si>
  <si>
    <t>Sheet1[City]</t>
  </si>
  <si>
    <t>Sheet1[Product]</t>
  </si>
  <si>
    <t>Sheet1[Price per Unit]</t>
  </si>
  <si>
    <t>Sheet1[Units Sold]</t>
  </si>
  <si>
    <t>Sheet1[Revenue]</t>
  </si>
  <si>
    <t>Sheet1[Sales Method]</t>
  </si>
  <si>
    <t>Data returned for YOY Growth Rate (First 1000 rows).</t>
  </si>
  <si>
    <t>S</t>
  </si>
  <si>
    <t>Marina Stitches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</si>
</sst>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quot;$&quot;#,##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2F131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0" fontId="0" fillId="2" borderId="0" xfId="0" applyFill="1"/>
    <xf numFmtId="3" fontId="0" fillId="0" borderId="0" xfId="0" applyNumberFormat="1"/>
    <xf numFmtId="165" fontId="0" fillId="0" borderId="0" xfId="0" applyNumberFormat="1"/>
    <xf numFmtId="0" fontId="1" fillId="0" borderId="0" xfId="0" applyFont="1"/>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font>
        <b/>
        <i val="0"/>
      </font>
    </dxf>
    <dxf>
      <fill>
        <patternFill patternType="solid">
          <bgColor theme="7" tint="0.59996337778862885"/>
        </patternFill>
      </fill>
    </dxf>
  </dxfs>
  <tableStyles count="1" defaultTableStyle="TableStyleMedium2" defaultPivotStyle="PivotStyleLight16">
    <tableStyle name="Mariana Mall Slicer " pivot="0" table="0" count="6" xr9:uid="{67B23E50-6861-4540-9BFD-258F452580F4}">
      <tableStyleElement type="wholeTable" dxfId="10"/>
      <tableStyleElement type="headerRow" dxfId="9"/>
    </tableStyle>
  </tableStyles>
  <colors>
    <mruColors>
      <color rgb="FF2F1312"/>
    </mruColors>
  </colors>
  <extLst>
    <ext xmlns:x14="http://schemas.microsoft.com/office/spreadsheetml/2009/9/main" uri="{46F421CA-312F-682f-3DD2-61675219B42D}">
      <x14:dxfs count="4">
        <dxf>
          <fill>
            <patternFill>
              <bgColor theme="7" tint="-0.24994659260841701"/>
            </patternFill>
          </fill>
        </dxf>
        <dxf>
          <fill>
            <patternFill>
              <bgColor rgb="FF002060"/>
            </patternFill>
          </fill>
        </dxf>
        <dxf>
          <fill>
            <patternFill>
              <bgColor theme="7" tint="-0.499984740745262"/>
            </patternFill>
          </fill>
        </dxf>
        <dxf>
          <fill>
            <patternFill>
              <bgColor theme="7" tint="0.59996337778862885"/>
            </patternFill>
          </fill>
        </dxf>
      </x14:dxfs>
    </ext>
    <ext xmlns:x14="http://schemas.microsoft.com/office/spreadsheetml/2009/9/main" uri="{EB79DEF2-80B8-43e5-95BD-54CBDDF9020C}">
      <x14:slicerStyles defaultSlicerStyle="SlicerStyleLight1">
        <x14:slicerStyle name="Mariana Mall Slicer ">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owerPivotData" Target="model/item.data"/><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4.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[Mariana Store^J Cleaned data.xlsx]Revenue by Day of the Week!PivotTable1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Day of the Week'!$B$3</c:f>
              <c:strCache>
                <c:ptCount val="1"/>
                <c:pt idx="0">
                  <c:v>Total</c:v>
                </c:pt>
              </c:strCache>
            </c:strRef>
          </c:tx>
          <c:spPr>
            <a:ln w="28575" cap="rnd">
              <a:solidFill>
                <a:schemeClr val="accent1"/>
              </a:solidFill>
              <a:round/>
            </a:ln>
            <a:effectLst/>
          </c:spPr>
          <c:marker>
            <c:symbol val="none"/>
          </c:marker>
          <c:cat>
            <c:strRef>
              <c:f>'Revenue by Day of the Week'!$A$4:$A$11</c:f>
              <c:strCache>
                <c:ptCount val="7"/>
                <c:pt idx="0">
                  <c:v>Sun</c:v>
                </c:pt>
                <c:pt idx="1">
                  <c:v>Mon</c:v>
                </c:pt>
                <c:pt idx="2">
                  <c:v>Tue</c:v>
                </c:pt>
                <c:pt idx="3">
                  <c:v>Wed</c:v>
                </c:pt>
                <c:pt idx="4">
                  <c:v>Thu</c:v>
                </c:pt>
                <c:pt idx="5">
                  <c:v>Fri</c:v>
                </c:pt>
                <c:pt idx="6">
                  <c:v>Sat</c:v>
                </c:pt>
              </c:strCache>
            </c:strRef>
          </c:cat>
          <c:val>
            <c:numRef>
              <c:f>'Revenue by Day of the Week'!$B$4:$B$11</c:f>
              <c:numCache>
                <c:formatCode>General</c:formatCode>
                <c:ptCount val="7"/>
                <c:pt idx="0">
                  <c:v>2649814.58</c:v>
                </c:pt>
                <c:pt idx="1">
                  <c:v>2743231.54</c:v>
                </c:pt>
                <c:pt idx="2">
                  <c:v>2180099.2599999998</c:v>
                </c:pt>
                <c:pt idx="3">
                  <c:v>1852936.35</c:v>
                </c:pt>
                <c:pt idx="4">
                  <c:v>1929865.17</c:v>
                </c:pt>
                <c:pt idx="5">
                  <c:v>1821940.71</c:v>
                </c:pt>
                <c:pt idx="6">
                  <c:v>1299448.52</c:v>
                </c:pt>
              </c:numCache>
            </c:numRef>
          </c:val>
          <c:smooth val="0"/>
          <c:extLst>
            <c:ext xmlns:c16="http://schemas.microsoft.com/office/drawing/2014/chart" uri="{C3380CC4-5D6E-409C-BE32-E72D297353CC}">
              <c16:uniqueId val="{00000000-2D04-4311-A414-6F6B1867EE19}"/>
            </c:ext>
          </c:extLst>
        </c:ser>
        <c:dLbls>
          <c:showLegendKey val="0"/>
          <c:showVal val="0"/>
          <c:showCatName val="0"/>
          <c:showSerName val="0"/>
          <c:showPercent val="0"/>
          <c:showBubbleSize val="0"/>
        </c:dLbls>
        <c:smooth val="0"/>
        <c:axId val="40221952"/>
        <c:axId val="40222912"/>
      </c:lineChart>
      <c:catAx>
        <c:axId val="4022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2912"/>
        <c:crosses val="autoZero"/>
        <c:auto val="1"/>
        <c:lblAlgn val="ctr"/>
        <c:lblOffset val="100"/>
        <c:noMultiLvlLbl val="0"/>
      </c:catAx>
      <c:valAx>
        <c:axId val="4022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[Mariana Store^J Cleaned data.xlsx]Revenue by Retailer!PivotTable2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Retailer'!$B$3</c:f>
              <c:strCache>
                <c:ptCount val="1"/>
                <c:pt idx="0">
                  <c:v>Total</c:v>
                </c:pt>
              </c:strCache>
            </c:strRef>
          </c:tx>
          <c:spPr>
            <a:solidFill>
              <a:schemeClr val="accent1"/>
            </a:solidFill>
            <a:ln>
              <a:noFill/>
            </a:ln>
            <a:effectLst/>
          </c:spPr>
          <c:invertIfNegative val="0"/>
          <c:cat>
            <c:strRef>
              <c:f>'Revenue by Retailer'!$A$4:$A$10</c:f>
              <c:strCache>
                <c:ptCount val="6"/>
                <c:pt idx="0">
                  <c:v>Afroque Bonquet</c:v>
                </c:pt>
                <c:pt idx="1">
                  <c:v>Back2Shape Essentials</c:v>
                </c:pt>
                <c:pt idx="2">
                  <c:v>Jabary Needles</c:v>
                </c:pt>
                <c:pt idx="3">
                  <c:v>Mariana Stitches</c:v>
                </c:pt>
                <c:pt idx="4">
                  <c:v>Marina Stitches</c:v>
                </c:pt>
                <c:pt idx="5">
                  <c:v>Treaz Empire</c:v>
                </c:pt>
              </c:strCache>
            </c:strRef>
          </c:cat>
          <c:val>
            <c:numRef>
              <c:f>'Revenue by Retailer'!$B$4:$B$10</c:f>
              <c:numCache>
                <c:formatCode>General</c:formatCode>
                <c:ptCount val="6"/>
                <c:pt idx="0">
                  <c:v>2718736.7</c:v>
                </c:pt>
                <c:pt idx="1">
                  <c:v>3160570.3</c:v>
                </c:pt>
                <c:pt idx="2">
                  <c:v>2948462.72</c:v>
                </c:pt>
                <c:pt idx="3">
                  <c:v>2744133.24</c:v>
                </c:pt>
                <c:pt idx="4">
                  <c:v>10668.57</c:v>
                </c:pt>
                <c:pt idx="5">
                  <c:v>2894764.6</c:v>
                </c:pt>
              </c:numCache>
            </c:numRef>
          </c:val>
          <c:extLst>
            <c:ext xmlns:c16="http://schemas.microsoft.com/office/drawing/2014/chart" uri="{C3380CC4-5D6E-409C-BE32-E72D297353CC}">
              <c16:uniqueId val="{00000000-EEA2-451A-8B57-2DF5FA43F2DE}"/>
            </c:ext>
          </c:extLst>
        </c:ser>
        <c:dLbls>
          <c:showLegendKey val="0"/>
          <c:showVal val="0"/>
          <c:showCatName val="0"/>
          <c:showSerName val="0"/>
          <c:showPercent val="0"/>
          <c:showBubbleSize val="0"/>
        </c:dLbls>
        <c:gapWidth val="219"/>
        <c:overlap val="-27"/>
        <c:axId val="1509153968"/>
        <c:axId val="1509153488"/>
      </c:barChart>
      <c:catAx>
        <c:axId val="150915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53488"/>
        <c:crosses val="autoZero"/>
        <c:auto val="1"/>
        <c:lblAlgn val="ctr"/>
        <c:lblOffset val="100"/>
        <c:noMultiLvlLbl val="0"/>
      </c:catAx>
      <c:valAx>
        <c:axId val="150915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5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[Mariana Store^J Cleaned data.xlsx]Revenue By sales Method!PivotTable3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'Revenue By sales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56-4EEF-9CCF-843E08ADDC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56-4EEF-9CCF-843E08ADDC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56-4EEF-9CCF-843E08ADDC37}"/>
              </c:ext>
            </c:extLst>
          </c:dPt>
          <c:cat>
            <c:strRef>
              <c:f>'Revenue By sales Method'!$A$4:$A$7</c:f>
              <c:strCache>
                <c:ptCount val="3"/>
                <c:pt idx="0">
                  <c:v>Instore</c:v>
                </c:pt>
                <c:pt idx="1">
                  <c:v>Online</c:v>
                </c:pt>
                <c:pt idx="2">
                  <c:v>Outlet</c:v>
                </c:pt>
              </c:strCache>
            </c:strRef>
          </c:cat>
          <c:val>
            <c:numRef>
              <c:f>'Revenue By sales Method'!$B$4:$B$7</c:f>
              <c:numCache>
                <c:formatCode>General</c:formatCode>
                <c:ptCount val="3"/>
                <c:pt idx="0">
                  <c:v>5187934.18</c:v>
                </c:pt>
                <c:pt idx="1">
                  <c:v>4493488.6100000003</c:v>
                </c:pt>
                <c:pt idx="2">
                  <c:v>4795913.34</c:v>
                </c:pt>
              </c:numCache>
            </c:numRef>
          </c:val>
          <c:extLst>
            <c:ext xmlns:c16="http://schemas.microsoft.com/office/drawing/2014/chart" uri="{C3380CC4-5D6E-409C-BE32-E72D297353CC}">
              <c16:uniqueId val="{00000000-DE63-47F7-9F96-52FFCC98CC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[Mariana Store^J Cleaned data.xlsx]Revenue By Product by Region!PivotTable4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Product by Region'!$B$3:$B$4</c:f>
              <c:strCache>
                <c:ptCount val="1"/>
                <c:pt idx="0">
                  <c:v>Just for Her</c:v>
                </c:pt>
              </c:strCache>
            </c:strRef>
          </c:tx>
          <c:spPr>
            <a:solidFill>
              <a:schemeClr val="accent1"/>
            </a:solidFill>
            <a:ln>
              <a:noFill/>
            </a:ln>
            <a:effectLst/>
          </c:spPr>
          <c:invertIfNegative val="0"/>
          <c:cat>
            <c:strRef>
              <c:f>'Revenue By Product by Region'!$A$5:$A$6</c:f>
              <c:strCache>
                <c:ptCount val="1"/>
                <c:pt idx="0">
                  <c:v>Central</c:v>
                </c:pt>
              </c:strCache>
            </c:strRef>
          </c:cat>
          <c:val>
            <c:numRef>
              <c:f>'Revenue By Product by Region'!$B$5:$B$6</c:f>
              <c:numCache>
                <c:formatCode>General</c:formatCode>
                <c:ptCount val="1"/>
                <c:pt idx="0">
                  <c:v>993279.4</c:v>
                </c:pt>
              </c:numCache>
            </c:numRef>
          </c:val>
          <c:extLst>
            <c:ext xmlns:c16="http://schemas.microsoft.com/office/drawing/2014/chart" uri="{C3380CC4-5D6E-409C-BE32-E72D297353CC}">
              <c16:uniqueId val="{00000000-08AA-46AE-9443-34D79AA2FEE4}"/>
            </c:ext>
          </c:extLst>
        </c:ser>
        <c:ser>
          <c:idx val="1"/>
          <c:order val="1"/>
          <c:tx>
            <c:strRef>
              <c:f>'Revenue By Product by Region'!$C$3:$C$4</c:f>
              <c:strCache>
                <c:ptCount val="1"/>
                <c:pt idx="0">
                  <c:v>Just for Men</c:v>
                </c:pt>
              </c:strCache>
            </c:strRef>
          </c:tx>
          <c:spPr>
            <a:solidFill>
              <a:schemeClr val="accent2"/>
            </a:solidFill>
            <a:ln>
              <a:noFill/>
            </a:ln>
            <a:effectLst/>
          </c:spPr>
          <c:invertIfNegative val="0"/>
          <c:cat>
            <c:strRef>
              <c:f>'Revenue By Product by Region'!$A$5:$A$6</c:f>
              <c:strCache>
                <c:ptCount val="1"/>
                <c:pt idx="0">
                  <c:v>Central</c:v>
                </c:pt>
              </c:strCache>
            </c:strRef>
          </c:cat>
          <c:val>
            <c:numRef>
              <c:f>'Revenue By Product by Region'!$C$5:$C$6</c:f>
              <c:numCache>
                <c:formatCode>General</c:formatCode>
                <c:ptCount val="1"/>
                <c:pt idx="0">
                  <c:v>88482.61</c:v>
                </c:pt>
              </c:numCache>
            </c:numRef>
          </c:val>
          <c:extLst>
            <c:ext xmlns:c16="http://schemas.microsoft.com/office/drawing/2014/chart" uri="{C3380CC4-5D6E-409C-BE32-E72D297353CC}">
              <c16:uniqueId val="{00000001-08AA-46AE-9443-34D79AA2FEE4}"/>
            </c:ext>
          </c:extLst>
        </c:ser>
        <c:ser>
          <c:idx val="2"/>
          <c:order val="2"/>
          <c:tx>
            <c:strRef>
              <c:f>'Revenue By Product by Region'!$D$3:$D$4</c:f>
              <c:strCache>
                <c:ptCount val="1"/>
                <c:pt idx="0">
                  <c:v>Kampala Foot Wear</c:v>
                </c:pt>
              </c:strCache>
            </c:strRef>
          </c:tx>
          <c:spPr>
            <a:solidFill>
              <a:schemeClr val="accent3"/>
            </a:solidFill>
            <a:ln>
              <a:noFill/>
            </a:ln>
            <a:effectLst/>
          </c:spPr>
          <c:invertIfNegative val="0"/>
          <c:cat>
            <c:strRef>
              <c:f>'Revenue By Product by Region'!$A$5:$A$6</c:f>
              <c:strCache>
                <c:ptCount val="1"/>
                <c:pt idx="0">
                  <c:v>Central</c:v>
                </c:pt>
              </c:strCache>
            </c:strRef>
          </c:cat>
          <c:val>
            <c:numRef>
              <c:f>'Revenue By Product by Region'!$D$5:$D$6</c:f>
              <c:numCache>
                <c:formatCode>General</c:formatCode>
                <c:ptCount val="1"/>
                <c:pt idx="0">
                  <c:v>418731.22</c:v>
                </c:pt>
              </c:numCache>
            </c:numRef>
          </c:val>
          <c:extLst>
            <c:ext xmlns:c16="http://schemas.microsoft.com/office/drawing/2014/chart" uri="{C3380CC4-5D6E-409C-BE32-E72D297353CC}">
              <c16:uniqueId val="{00000002-08AA-46AE-9443-34D79AA2FEE4}"/>
            </c:ext>
          </c:extLst>
        </c:ser>
        <c:ser>
          <c:idx val="3"/>
          <c:order val="3"/>
          <c:tx>
            <c:strRef>
              <c:f>'Revenue By Product by Region'!$E$3:$E$4</c:f>
              <c:strCache>
                <c:ptCount val="1"/>
                <c:pt idx="0">
                  <c:v>Kiddies Wear</c:v>
                </c:pt>
              </c:strCache>
            </c:strRef>
          </c:tx>
          <c:spPr>
            <a:solidFill>
              <a:schemeClr val="accent4"/>
            </a:solidFill>
            <a:ln>
              <a:noFill/>
            </a:ln>
            <a:effectLst/>
          </c:spPr>
          <c:invertIfNegative val="0"/>
          <c:cat>
            <c:strRef>
              <c:f>'Revenue By Product by Region'!$A$5:$A$6</c:f>
              <c:strCache>
                <c:ptCount val="1"/>
                <c:pt idx="0">
                  <c:v>Central</c:v>
                </c:pt>
              </c:strCache>
            </c:strRef>
          </c:cat>
          <c:val>
            <c:numRef>
              <c:f>'Revenue By Product by Region'!$E$5:$E$6</c:f>
              <c:numCache>
                <c:formatCode>General</c:formatCode>
                <c:ptCount val="1"/>
                <c:pt idx="0">
                  <c:v>458081.18</c:v>
                </c:pt>
              </c:numCache>
            </c:numRef>
          </c:val>
          <c:extLst>
            <c:ext xmlns:c16="http://schemas.microsoft.com/office/drawing/2014/chart" uri="{C3380CC4-5D6E-409C-BE32-E72D297353CC}">
              <c16:uniqueId val="{00000003-08AA-46AE-9443-34D79AA2FEE4}"/>
            </c:ext>
          </c:extLst>
        </c:ser>
        <c:ser>
          <c:idx val="4"/>
          <c:order val="4"/>
          <c:tx>
            <c:strRef>
              <c:f>'Revenue By Product by Region'!$F$3:$F$4</c:f>
              <c:strCache>
                <c:ptCount val="1"/>
                <c:pt idx="0">
                  <c:v>Summer Wear</c:v>
                </c:pt>
              </c:strCache>
            </c:strRef>
          </c:tx>
          <c:spPr>
            <a:solidFill>
              <a:schemeClr val="accent5"/>
            </a:solidFill>
            <a:ln>
              <a:noFill/>
            </a:ln>
            <a:effectLst/>
          </c:spPr>
          <c:invertIfNegative val="0"/>
          <c:cat>
            <c:strRef>
              <c:f>'Revenue By Product by Region'!$A$5:$A$6</c:f>
              <c:strCache>
                <c:ptCount val="1"/>
                <c:pt idx="0">
                  <c:v>Central</c:v>
                </c:pt>
              </c:strCache>
            </c:strRef>
          </c:cat>
          <c:val>
            <c:numRef>
              <c:f>'Revenue By Product by Region'!$F$5:$F$6</c:f>
              <c:numCache>
                <c:formatCode>General</c:formatCode>
                <c:ptCount val="1"/>
                <c:pt idx="0">
                  <c:v>828593.63</c:v>
                </c:pt>
              </c:numCache>
            </c:numRef>
          </c:val>
          <c:extLst>
            <c:ext xmlns:c16="http://schemas.microsoft.com/office/drawing/2014/chart" uri="{C3380CC4-5D6E-409C-BE32-E72D297353CC}">
              <c16:uniqueId val="{00000004-08AA-46AE-9443-34D79AA2FEE4}"/>
            </c:ext>
          </c:extLst>
        </c:ser>
        <c:ser>
          <c:idx val="5"/>
          <c:order val="5"/>
          <c:tx>
            <c:strRef>
              <c:f>'Revenue By Product by Region'!$G$3:$G$4</c:f>
              <c:strCache>
                <c:ptCount val="1"/>
                <c:pt idx="0">
                  <c:v>Women's Beach Wear</c:v>
                </c:pt>
              </c:strCache>
            </c:strRef>
          </c:tx>
          <c:spPr>
            <a:solidFill>
              <a:schemeClr val="accent6"/>
            </a:solidFill>
            <a:ln>
              <a:noFill/>
            </a:ln>
            <a:effectLst/>
          </c:spPr>
          <c:invertIfNegative val="0"/>
          <c:cat>
            <c:strRef>
              <c:f>'Revenue By Product by Region'!$A$5:$A$6</c:f>
              <c:strCache>
                <c:ptCount val="1"/>
                <c:pt idx="0">
                  <c:v>Central</c:v>
                </c:pt>
              </c:strCache>
            </c:strRef>
          </c:cat>
          <c:val>
            <c:numRef>
              <c:f>'Revenue By Product by Region'!$G$5:$G$6</c:f>
              <c:numCache>
                <c:formatCode>General</c:formatCode>
                <c:ptCount val="1"/>
                <c:pt idx="0">
                  <c:v>30865.52</c:v>
                </c:pt>
              </c:numCache>
            </c:numRef>
          </c:val>
          <c:extLst>
            <c:ext xmlns:c16="http://schemas.microsoft.com/office/drawing/2014/chart" uri="{C3380CC4-5D6E-409C-BE32-E72D297353CC}">
              <c16:uniqueId val="{00000000-05B6-4F49-8C59-27C42DAB050A}"/>
            </c:ext>
          </c:extLst>
        </c:ser>
        <c:dLbls>
          <c:showLegendKey val="0"/>
          <c:showVal val="0"/>
          <c:showCatName val="0"/>
          <c:showSerName val="0"/>
          <c:showPercent val="0"/>
          <c:showBubbleSize val="0"/>
        </c:dLbls>
        <c:gapWidth val="219"/>
        <c:overlap val="-27"/>
        <c:axId val="1922446351"/>
        <c:axId val="1922447311"/>
      </c:barChart>
      <c:catAx>
        <c:axId val="1922446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447311"/>
        <c:crosses val="autoZero"/>
        <c:auto val="1"/>
        <c:lblAlgn val="ctr"/>
        <c:lblOffset val="100"/>
        <c:noMultiLvlLbl val="0"/>
      </c:catAx>
      <c:valAx>
        <c:axId val="19224473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44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[Mariana Store^J Cleaned data.xlsx]Revenue By year By Month!PivotTable6</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year By Month'!$B$3:$B$4</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By year By 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year By Month'!$B$5:$B$17</c:f>
              <c:numCache>
                <c:formatCode>General</c:formatCode>
                <c:ptCount val="12"/>
                <c:pt idx="0">
                  <c:v>500857.06</c:v>
                </c:pt>
                <c:pt idx="1">
                  <c:v>355332.98</c:v>
                </c:pt>
                <c:pt idx="2">
                  <c:v>211122.75</c:v>
                </c:pt>
                <c:pt idx="3">
                  <c:v>388658.59</c:v>
                </c:pt>
                <c:pt idx="4">
                  <c:v>543580.25</c:v>
                </c:pt>
                <c:pt idx="5">
                  <c:v>389902.3</c:v>
                </c:pt>
                <c:pt idx="6">
                  <c:v>354920.73</c:v>
                </c:pt>
                <c:pt idx="7">
                  <c:v>491470.94</c:v>
                </c:pt>
                <c:pt idx="8">
                  <c:v>473680.48</c:v>
                </c:pt>
                <c:pt idx="9">
                  <c:v>466307.38</c:v>
                </c:pt>
                <c:pt idx="10">
                  <c:v>649790.19999999995</c:v>
                </c:pt>
                <c:pt idx="11">
                  <c:v>356413.04</c:v>
                </c:pt>
              </c:numCache>
            </c:numRef>
          </c:val>
          <c:smooth val="0"/>
          <c:extLst>
            <c:ext xmlns:c16="http://schemas.microsoft.com/office/drawing/2014/chart" uri="{C3380CC4-5D6E-409C-BE32-E72D297353CC}">
              <c16:uniqueId val="{00000000-E33E-473B-8F0E-BA2D51B3C773}"/>
            </c:ext>
          </c:extLst>
        </c:ser>
        <c:ser>
          <c:idx val="1"/>
          <c:order val="1"/>
          <c:tx>
            <c:strRef>
              <c:f>'Revenue By year By Month'!$C$3:$C$4</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'Revenue By year By 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year By Month'!$C$5:$C$17</c:f>
              <c:numCache>
                <c:formatCode>General</c:formatCode>
                <c:ptCount val="12"/>
                <c:pt idx="0">
                  <c:v>3352772.81</c:v>
                </c:pt>
                <c:pt idx="1">
                  <c:v>2783604.26</c:v>
                </c:pt>
                <c:pt idx="2">
                  <c:v>3158922.36</c:v>
                </c:pt>
              </c:numCache>
            </c:numRef>
          </c:val>
          <c:smooth val="0"/>
          <c:extLst>
            <c:ext xmlns:c16="http://schemas.microsoft.com/office/drawing/2014/chart" uri="{C3380CC4-5D6E-409C-BE32-E72D297353CC}">
              <c16:uniqueId val="{00000001-E33E-473B-8F0E-BA2D51B3C773}"/>
            </c:ext>
          </c:extLst>
        </c:ser>
        <c:dLbls>
          <c:showLegendKey val="0"/>
          <c:showVal val="0"/>
          <c:showCatName val="0"/>
          <c:showSerName val="0"/>
          <c:showPercent val="0"/>
          <c:showBubbleSize val="0"/>
        </c:dLbls>
        <c:marker val="1"/>
        <c:smooth val="0"/>
        <c:axId val="214588671"/>
        <c:axId val="214588191"/>
      </c:lineChart>
      <c:catAx>
        <c:axId val="21458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8191"/>
        <c:crosses val="autoZero"/>
        <c:auto val="1"/>
        <c:lblAlgn val="ctr"/>
        <c:lblOffset val="100"/>
        <c:noMultiLvlLbl val="0"/>
      </c:catAx>
      <c:valAx>
        <c:axId val="21458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FA-4F47-A3C0-4B2C4640C0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FA-4F47-A3C0-4B2C4640C07E}"/>
              </c:ext>
            </c:extLst>
          </c:dPt>
          <c:val>
            <c:numRef>
              <c:f>'Revenue By Year'!$F$3:$G$3</c:f>
              <c:numCache>
                <c:formatCode>General</c:formatCode>
                <c:ptCount val="2"/>
                <c:pt idx="0">
                  <c:v>5182036.7</c:v>
                </c:pt>
                <c:pt idx="1">
                  <c:v>6437087.5874999994</c:v>
                </c:pt>
              </c:numCache>
            </c:numRef>
          </c:val>
          <c:extLst>
            <c:ext xmlns:c16="http://schemas.microsoft.com/office/drawing/2014/chart" uri="{C3380CC4-5D6E-409C-BE32-E72D297353CC}">
              <c16:uniqueId val="{00000000-6FFA-4B64-A209-E3E8D0D9A9E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66174540682415"/>
          <c:y val="0.24337087610884084"/>
          <c:w val="0.7698900918635172"/>
          <c:h val="0.6237084288514569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06-4496-9D38-4E10A2C277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06-4496-9D38-4E10A2C277D8}"/>
              </c:ext>
            </c:extLst>
          </c:dPt>
          <c:val>
            <c:numRef>
              <c:f>'Revenue By Year'!$F$4:$G$4</c:f>
              <c:numCache>
                <c:formatCode>General</c:formatCode>
                <c:ptCount val="2"/>
                <c:pt idx="0">
                  <c:v>9295299.4299999997</c:v>
                </c:pt>
                <c:pt idx="1">
                  <c:v>2323824.8574999999</c:v>
                </c:pt>
              </c:numCache>
            </c:numRef>
          </c:val>
          <c:extLst>
            <c:ext xmlns:c16="http://schemas.microsoft.com/office/drawing/2014/chart" uri="{C3380CC4-5D6E-409C-BE32-E72D297353CC}">
              <c16:uniqueId val="{00000000-0CBE-4165-B66D-81FF14768F3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[Mariana Store^J Cleaned data.xlsx]Revenue by Day of the Week!PivotTable1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Day of the Week'!$B$3</c:f>
              <c:strCache>
                <c:ptCount val="1"/>
                <c:pt idx="0">
                  <c:v>Total</c:v>
                </c:pt>
              </c:strCache>
            </c:strRef>
          </c:tx>
          <c:spPr>
            <a:ln w="28575" cap="rnd">
              <a:solidFill>
                <a:schemeClr val="accent1"/>
              </a:solidFill>
              <a:round/>
            </a:ln>
            <a:effectLst/>
          </c:spPr>
          <c:marker>
            <c:symbol val="none"/>
          </c:marker>
          <c:cat>
            <c:strRef>
              <c:f>'Revenue by Day of the Week'!$A$4:$A$11</c:f>
              <c:strCache>
                <c:ptCount val="7"/>
                <c:pt idx="0">
                  <c:v>Sun</c:v>
                </c:pt>
                <c:pt idx="1">
                  <c:v>Mon</c:v>
                </c:pt>
                <c:pt idx="2">
                  <c:v>Tue</c:v>
                </c:pt>
                <c:pt idx="3">
                  <c:v>Wed</c:v>
                </c:pt>
                <c:pt idx="4">
                  <c:v>Thu</c:v>
                </c:pt>
                <c:pt idx="5">
                  <c:v>Fri</c:v>
                </c:pt>
                <c:pt idx="6">
                  <c:v>Sat</c:v>
                </c:pt>
              </c:strCache>
            </c:strRef>
          </c:cat>
          <c:val>
            <c:numRef>
              <c:f>'Revenue by Day of the Week'!$B$4:$B$11</c:f>
              <c:numCache>
                <c:formatCode>General</c:formatCode>
                <c:ptCount val="7"/>
                <c:pt idx="0">
                  <c:v>2649814.58</c:v>
                </c:pt>
                <c:pt idx="1">
                  <c:v>2743231.54</c:v>
                </c:pt>
                <c:pt idx="2">
                  <c:v>2180099.2599999998</c:v>
                </c:pt>
                <c:pt idx="3">
                  <c:v>1852936.35</c:v>
                </c:pt>
                <c:pt idx="4">
                  <c:v>1929865.17</c:v>
                </c:pt>
                <c:pt idx="5">
                  <c:v>1821940.71</c:v>
                </c:pt>
                <c:pt idx="6">
                  <c:v>1299448.52</c:v>
                </c:pt>
              </c:numCache>
            </c:numRef>
          </c:val>
          <c:smooth val="0"/>
          <c:extLst>
            <c:ext xmlns:c16="http://schemas.microsoft.com/office/drawing/2014/chart" uri="{C3380CC4-5D6E-409C-BE32-E72D297353CC}">
              <c16:uniqueId val="{00000000-881C-4B2C-A00B-D917E37A658E}"/>
            </c:ext>
          </c:extLst>
        </c:ser>
        <c:dLbls>
          <c:showLegendKey val="0"/>
          <c:showVal val="0"/>
          <c:showCatName val="0"/>
          <c:showSerName val="0"/>
          <c:showPercent val="0"/>
          <c:showBubbleSize val="0"/>
        </c:dLbls>
        <c:smooth val="0"/>
        <c:axId val="40221952"/>
        <c:axId val="40222912"/>
      </c:lineChart>
      <c:catAx>
        <c:axId val="40221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DAY OF THE WEEK</a:t>
                </a:r>
              </a:p>
            </c:rich>
          </c:tx>
          <c:layout>
            <c:manualLayout>
              <c:xMode val="edge"/>
              <c:yMode val="edge"/>
              <c:x val="0.39370817453788426"/>
              <c:y val="0.81648727793323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2912"/>
        <c:crosses val="autoZero"/>
        <c:auto val="1"/>
        <c:lblAlgn val="ctr"/>
        <c:lblOffset val="100"/>
        <c:noMultiLvlLbl val="0"/>
      </c:catAx>
      <c:valAx>
        <c:axId val="40222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[Mariana Store^J Cleaned data.xlsx]Revenue by Retailer!PivotTable2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2.72108843537414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4059753954305865E-2"/>
              <c:y val="-1.558938907104488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6783831282952552E-2"/>
              <c:y val="6.80272108843535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8475304223335"/>
          <c:y val="0.14285714285714285"/>
          <c:w val="0.71859474784903221"/>
          <c:h val="0.3557678504472655"/>
        </c:manualLayout>
      </c:layout>
      <c:barChart>
        <c:barDir val="col"/>
        <c:grouping val="clustered"/>
        <c:varyColors val="0"/>
        <c:ser>
          <c:idx val="0"/>
          <c:order val="0"/>
          <c:tx>
            <c:strRef>
              <c:f>'Revenue by Retailer'!$B$3</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6CB6-457E-B019-CCAB4F4625BC}"/>
              </c:ext>
            </c:extLst>
          </c:dPt>
          <c:dPt>
            <c:idx val="2"/>
            <c:invertIfNegative val="0"/>
            <c:bubble3D val="0"/>
            <c:extLst>
              <c:ext xmlns:c16="http://schemas.microsoft.com/office/drawing/2014/chart" uri="{C3380CC4-5D6E-409C-BE32-E72D297353CC}">
                <c16:uniqueId val="{00000001-6CB6-457E-B019-CCAB4F4625BC}"/>
              </c:ext>
            </c:extLst>
          </c:dPt>
          <c:dPt>
            <c:idx val="3"/>
            <c:invertIfNegative val="0"/>
            <c:bubble3D val="0"/>
            <c:extLst>
              <c:ext xmlns:c16="http://schemas.microsoft.com/office/drawing/2014/chart" uri="{C3380CC4-5D6E-409C-BE32-E72D297353CC}">
                <c16:uniqueId val="{00000002-6CB6-457E-B019-CCAB4F4625BC}"/>
              </c:ext>
            </c:extLst>
          </c:dPt>
          <c:dLbls>
            <c:dLbl>
              <c:idx val="1"/>
              <c:layout>
                <c:manualLayout>
                  <c:x val="0"/>
                  <c:y val="-2.72108843537414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B6-457E-B019-CCAB4F4625BC}"/>
                </c:ext>
              </c:extLst>
            </c:dLbl>
            <c:dLbl>
              <c:idx val="2"/>
              <c:layout>
                <c:manualLayout>
                  <c:x val="1.4059753954305865E-2"/>
                  <c:y val="-1.558938907104488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B6-457E-B019-CCAB4F4625BC}"/>
                </c:ext>
              </c:extLst>
            </c:dLbl>
            <c:dLbl>
              <c:idx val="3"/>
              <c:layout>
                <c:manualLayout>
                  <c:x val="6.6783831282952552E-2"/>
                  <c:y val="6.80272108843535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B6-457E-B019-CCAB4F4625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Retailer'!$A$4:$A$10</c:f>
              <c:strCache>
                <c:ptCount val="6"/>
                <c:pt idx="0">
                  <c:v>Afroque Bonquet</c:v>
                </c:pt>
                <c:pt idx="1">
                  <c:v>Back2Shape Essentials</c:v>
                </c:pt>
                <c:pt idx="2">
                  <c:v>Jabary Needles</c:v>
                </c:pt>
                <c:pt idx="3">
                  <c:v>Mariana Stitches</c:v>
                </c:pt>
                <c:pt idx="4">
                  <c:v>Marina Stitches</c:v>
                </c:pt>
                <c:pt idx="5">
                  <c:v>Treaz Empire</c:v>
                </c:pt>
              </c:strCache>
            </c:strRef>
          </c:cat>
          <c:val>
            <c:numRef>
              <c:f>'Revenue by Retailer'!$B$4:$B$10</c:f>
              <c:numCache>
                <c:formatCode>General</c:formatCode>
                <c:ptCount val="6"/>
                <c:pt idx="0">
                  <c:v>2718736.7</c:v>
                </c:pt>
                <c:pt idx="1">
                  <c:v>3160570.3</c:v>
                </c:pt>
                <c:pt idx="2">
                  <c:v>2948462.72</c:v>
                </c:pt>
                <c:pt idx="3">
                  <c:v>2744133.24</c:v>
                </c:pt>
                <c:pt idx="4">
                  <c:v>10668.57</c:v>
                </c:pt>
                <c:pt idx="5">
                  <c:v>2894764.6</c:v>
                </c:pt>
              </c:numCache>
            </c:numRef>
          </c:val>
          <c:extLst>
            <c:ext xmlns:c16="http://schemas.microsoft.com/office/drawing/2014/chart" uri="{C3380CC4-5D6E-409C-BE32-E72D297353CC}">
              <c16:uniqueId val="{00000000-7AE2-4318-8378-CC3396A7C0C2}"/>
            </c:ext>
          </c:extLst>
        </c:ser>
        <c:dLbls>
          <c:dLblPos val="outEnd"/>
          <c:showLegendKey val="0"/>
          <c:showVal val="1"/>
          <c:showCatName val="0"/>
          <c:showSerName val="0"/>
          <c:showPercent val="0"/>
          <c:showBubbleSize val="0"/>
        </c:dLbls>
        <c:gapWidth val="219"/>
        <c:overlap val="-27"/>
        <c:axId val="1509153968"/>
        <c:axId val="1509153488"/>
      </c:barChart>
      <c:catAx>
        <c:axId val="1509153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t>RETAILER</a:t>
                </a:r>
                <a:r>
                  <a:rPr lang="en-US" baseline="0"/>
                  <a:t> </a:t>
                </a:r>
                <a:endParaRPr lang="en-US"/>
              </a:p>
            </c:rich>
          </c:tx>
          <c:layout>
            <c:manualLayout>
              <c:xMode val="edge"/>
              <c:yMode val="edge"/>
              <c:x val="0.423260488160905"/>
              <c:y val="0.86935347367293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53488"/>
        <c:crosses val="autoZero"/>
        <c:auto val="1"/>
        <c:lblAlgn val="ctr"/>
        <c:lblOffset val="100"/>
        <c:noMultiLvlLbl val="0"/>
      </c:catAx>
      <c:valAx>
        <c:axId val="15091534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5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[Mariana Store^J Cleaned data.xlsx]Revenue By sales Method!PivotTable3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s>
    <c:plotArea>
      <c:layout>
        <c:manualLayout>
          <c:layoutTarget val="inner"/>
          <c:xMode val="edge"/>
          <c:yMode val="edge"/>
          <c:x val="0.16853044359554067"/>
          <c:y val="0.10819932719677645"/>
          <c:w val="0.53764767027883886"/>
          <c:h val="0.76482274222764413"/>
        </c:manualLayout>
      </c:layout>
      <c:pieChart>
        <c:varyColors val="1"/>
        <c:ser>
          <c:idx val="0"/>
          <c:order val="0"/>
          <c:tx>
            <c:strRef>
              <c:f>'Revenue By sales Method'!$B$3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55F1-4CBA-9877-FA65EC6B6D5D}"/>
              </c:ext>
            </c:extLst>
          </c:dPt>
          <c:dPt>
            <c:idx val="1"/>
            <c:bubble3D val="0"/>
            <c:spPr>
              <a:solidFill>
                <a:schemeClr val="accent2"/>
              </a:solidFill>
              <a:ln w="19050">
                <a:noFill/>
              </a:ln>
              <a:effectLst/>
            </c:spPr>
            <c:extLst>
              <c:ext xmlns:c16="http://schemas.microsoft.com/office/drawing/2014/chart" uri="{C3380CC4-5D6E-409C-BE32-E72D297353CC}">
                <c16:uniqueId val="{00000003-55F1-4CBA-9877-FA65EC6B6D5D}"/>
              </c:ext>
            </c:extLst>
          </c:dPt>
          <c:dPt>
            <c:idx val="2"/>
            <c:bubble3D val="0"/>
            <c:spPr>
              <a:solidFill>
                <a:schemeClr val="accent3"/>
              </a:solidFill>
              <a:ln w="19050">
                <a:noFill/>
              </a:ln>
              <a:effectLst/>
            </c:spPr>
            <c:extLst>
              <c:ext xmlns:c16="http://schemas.microsoft.com/office/drawing/2014/chart" uri="{C3380CC4-5D6E-409C-BE32-E72D297353CC}">
                <c16:uniqueId val="{00000005-55F1-4CBA-9877-FA65EC6B6D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sales Method'!$A$4:$A$7</c:f>
              <c:strCache>
                <c:ptCount val="3"/>
                <c:pt idx="0">
                  <c:v>Instore</c:v>
                </c:pt>
                <c:pt idx="1">
                  <c:v>Online</c:v>
                </c:pt>
                <c:pt idx="2">
                  <c:v>Outlet</c:v>
                </c:pt>
              </c:strCache>
            </c:strRef>
          </c:cat>
          <c:val>
            <c:numRef>
              <c:f>'Revenue By sales Method'!$B$4:$B$7</c:f>
              <c:numCache>
                <c:formatCode>General</c:formatCode>
                <c:ptCount val="3"/>
                <c:pt idx="0">
                  <c:v>5187934.18</c:v>
                </c:pt>
                <c:pt idx="1">
                  <c:v>4493488.6100000003</c:v>
                </c:pt>
                <c:pt idx="2">
                  <c:v>4795913.34</c:v>
                </c:pt>
              </c:numCache>
            </c:numRef>
          </c:val>
          <c:extLst>
            <c:ext xmlns:c16="http://schemas.microsoft.com/office/drawing/2014/chart" uri="{C3380CC4-5D6E-409C-BE32-E72D297353CC}">
              <c16:uniqueId val="{00000006-55F1-4CBA-9877-FA65EC6B6D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949403601777496"/>
          <c:y val="0.21537392333000629"/>
          <c:w val="0.27050596398222498"/>
          <c:h val="0.475355439724963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73905019685037"/>
          <c:y val="0.3015447154471545"/>
          <c:w val="0.50247332719773663"/>
          <c:h val="0.59830586898287197"/>
        </c:manualLayout>
      </c:layout>
      <c:doughnutChart>
        <c:varyColors val="1"/>
        <c:dLbls>
          <c:showLegendKey val="0"/>
          <c:showVal val="0"/>
          <c:showCatName val="0"/>
          <c:showSerName val="0"/>
          <c:showPercent val="0"/>
          <c:showBubbleSize val="0"/>
          <c:showLeaderLines val="0"/>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2023</a:t>
            </a:r>
          </a:p>
        </c:rich>
      </c:tx>
      <c:layout>
        <c:manualLayout>
          <c:xMode val="edge"/>
          <c:yMode val="edge"/>
          <c:x val="0.32084158415841585"/>
          <c:y val="9.75609756097560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808217042176661"/>
          <c:y val="0.3033170731707317"/>
          <c:w val="0.28482614796912764"/>
          <c:h val="0.56131592087574422"/>
        </c:manualLayout>
      </c:layout>
      <c:doughnutChart>
        <c:varyColors val="1"/>
        <c:dLbls>
          <c:showLegendKey val="0"/>
          <c:showVal val="0"/>
          <c:showCatName val="0"/>
          <c:showSerName val="0"/>
          <c:showPercent val="0"/>
          <c:showBubbleSize val="0"/>
          <c:showLeaderLines val="0"/>
        </c:dLbls>
        <c:firstSliceAng val="0"/>
        <c:holeSize val="75"/>
      </c:doughnutChart>
      <c:spPr>
        <a:noFill/>
        <a:ln w="25400">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2022</a:t>
            </a:r>
          </a:p>
        </c:rich>
      </c:tx>
      <c:layout>
        <c:manualLayout>
          <c:xMode val="edge"/>
          <c:yMode val="edge"/>
          <c:x val="0.3227835051546391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900473933649292E-2"/>
          <c:y val="0.17170940170940172"/>
          <c:w val="0.85520577968990985"/>
          <c:h val="0.71717948717948721"/>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6A82-4157-81E8-3FAFAA31B3AF}"/>
              </c:ext>
            </c:extLst>
          </c:dPt>
          <c:dPt>
            <c:idx val="1"/>
            <c:bubble3D val="0"/>
            <c:spPr>
              <a:solidFill>
                <a:schemeClr val="accent2"/>
              </a:solidFill>
              <a:ln w="19050">
                <a:noFill/>
              </a:ln>
              <a:effectLst/>
            </c:spPr>
            <c:extLst>
              <c:ext xmlns:c16="http://schemas.microsoft.com/office/drawing/2014/chart" uri="{C3380CC4-5D6E-409C-BE32-E72D297353CC}">
                <c16:uniqueId val="{00000003-6A82-4157-81E8-3FAFAA31B3AF}"/>
              </c:ext>
            </c:extLst>
          </c:dPt>
          <c:val>
            <c:numRef>
              <c:f>'Revenue By Year'!$F$3:$G$3</c:f>
              <c:numCache>
                <c:formatCode>General</c:formatCode>
                <c:ptCount val="2"/>
                <c:pt idx="0">
                  <c:v>5182036.7</c:v>
                </c:pt>
                <c:pt idx="1">
                  <c:v>6437087.5874999994</c:v>
                </c:pt>
              </c:numCache>
            </c:numRef>
          </c:val>
          <c:extLst>
            <c:ext xmlns:c16="http://schemas.microsoft.com/office/drawing/2014/chart" uri="{C3380CC4-5D6E-409C-BE32-E72D297353CC}">
              <c16:uniqueId val="{00000004-6A82-4157-81E8-3FAFAA31B3A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2023</a:t>
            </a:r>
          </a:p>
        </c:rich>
      </c:tx>
      <c:layout>
        <c:manualLayout>
          <c:xMode val="edge"/>
          <c:yMode val="edge"/>
          <c:x val="0.29504461942257215"/>
          <c:y val="1.55038759689922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9656542932133484E-2"/>
          <c:y val="0.1679796130134896"/>
          <c:w val="0.91572342519685057"/>
          <c:h val="0.68146859549533068"/>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18C8-414B-A4E2-18179FB7113E}"/>
              </c:ext>
            </c:extLst>
          </c:dPt>
          <c:dPt>
            <c:idx val="1"/>
            <c:bubble3D val="0"/>
            <c:spPr>
              <a:solidFill>
                <a:schemeClr val="accent2"/>
              </a:solidFill>
              <a:ln w="19050">
                <a:noFill/>
              </a:ln>
              <a:effectLst/>
            </c:spPr>
            <c:extLst>
              <c:ext xmlns:c16="http://schemas.microsoft.com/office/drawing/2014/chart" uri="{C3380CC4-5D6E-409C-BE32-E72D297353CC}">
                <c16:uniqueId val="{00000003-18C8-414B-A4E2-18179FB7113E}"/>
              </c:ext>
            </c:extLst>
          </c:dPt>
          <c:val>
            <c:numRef>
              <c:f>'Revenue By Year'!$F$4:$G$4</c:f>
              <c:numCache>
                <c:formatCode>General</c:formatCode>
                <c:ptCount val="2"/>
                <c:pt idx="0">
                  <c:v>9295299.4299999997</c:v>
                </c:pt>
                <c:pt idx="1">
                  <c:v>2323824.8574999999</c:v>
                </c:pt>
              </c:numCache>
            </c:numRef>
          </c:val>
          <c:extLst>
            <c:ext xmlns:c16="http://schemas.microsoft.com/office/drawing/2014/chart" uri="{C3380CC4-5D6E-409C-BE32-E72D297353CC}">
              <c16:uniqueId val="{00000004-18C8-414B-A4E2-18179FB7113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[Mariana Store^J Cleaned data.xlsx]Revenue By year By Month!PivotTable6</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23946271421953"/>
          <c:y val="0.11826350904610206"/>
          <c:w val="0.58834877257989815"/>
          <c:h val="0.65081444972050262"/>
        </c:manualLayout>
      </c:layout>
      <c:lineChart>
        <c:grouping val="standard"/>
        <c:varyColors val="0"/>
        <c:ser>
          <c:idx val="0"/>
          <c:order val="0"/>
          <c:tx>
            <c:strRef>
              <c:f>'Revenue By year By Month'!$B$3:$B$4</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By year By 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year By Month'!$B$5:$B$17</c:f>
              <c:numCache>
                <c:formatCode>General</c:formatCode>
                <c:ptCount val="12"/>
                <c:pt idx="0">
                  <c:v>500857.06</c:v>
                </c:pt>
                <c:pt idx="1">
                  <c:v>355332.98</c:v>
                </c:pt>
                <c:pt idx="2">
                  <c:v>211122.75</c:v>
                </c:pt>
                <c:pt idx="3">
                  <c:v>388658.59</c:v>
                </c:pt>
                <c:pt idx="4">
                  <c:v>543580.25</c:v>
                </c:pt>
                <c:pt idx="5">
                  <c:v>389902.3</c:v>
                </c:pt>
                <c:pt idx="6">
                  <c:v>354920.73</c:v>
                </c:pt>
                <c:pt idx="7">
                  <c:v>491470.94</c:v>
                </c:pt>
                <c:pt idx="8">
                  <c:v>473680.48</c:v>
                </c:pt>
                <c:pt idx="9">
                  <c:v>466307.38</c:v>
                </c:pt>
                <c:pt idx="10">
                  <c:v>649790.19999999995</c:v>
                </c:pt>
                <c:pt idx="11">
                  <c:v>356413.04</c:v>
                </c:pt>
              </c:numCache>
            </c:numRef>
          </c:val>
          <c:smooth val="0"/>
          <c:extLst>
            <c:ext xmlns:c16="http://schemas.microsoft.com/office/drawing/2014/chart" uri="{C3380CC4-5D6E-409C-BE32-E72D297353CC}">
              <c16:uniqueId val="{00000000-7CD7-427D-B34B-AA4F9F8415FC}"/>
            </c:ext>
          </c:extLst>
        </c:ser>
        <c:ser>
          <c:idx val="1"/>
          <c:order val="1"/>
          <c:tx>
            <c:strRef>
              <c:f>'Revenue By year By Month'!$C$3:$C$4</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'Revenue By year By 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year By Month'!$C$5:$C$17</c:f>
              <c:numCache>
                <c:formatCode>General</c:formatCode>
                <c:ptCount val="12"/>
                <c:pt idx="0">
                  <c:v>3352772.81</c:v>
                </c:pt>
                <c:pt idx="1">
                  <c:v>2783604.26</c:v>
                </c:pt>
                <c:pt idx="2">
                  <c:v>3158922.36</c:v>
                </c:pt>
              </c:numCache>
            </c:numRef>
          </c:val>
          <c:smooth val="0"/>
          <c:extLst>
            <c:ext xmlns:c16="http://schemas.microsoft.com/office/drawing/2014/chart" uri="{C3380CC4-5D6E-409C-BE32-E72D297353CC}">
              <c16:uniqueId val="{00000001-7CD7-427D-B34B-AA4F9F8415FC}"/>
            </c:ext>
          </c:extLst>
        </c:ser>
        <c:dLbls>
          <c:showLegendKey val="0"/>
          <c:showVal val="0"/>
          <c:showCatName val="0"/>
          <c:showSerName val="0"/>
          <c:showPercent val="0"/>
          <c:showBubbleSize val="0"/>
        </c:dLbls>
        <c:marker val="1"/>
        <c:smooth val="0"/>
        <c:axId val="214588671"/>
        <c:axId val="214588191"/>
      </c:lineChart>
      <c:catAx>
        <c:axId val="21458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layout>
            <c:manualLayout>
              <c:xMode val="edge"/>
              <c:yMode val="edge"/>
              <c:x val="0.4302923807318203"/>
              <c:y val="0.888198239925891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8191"/>
        <c:crosses val="autoZero"/>
        <c:auto val="1"/>
        <c:lblAlgn val="ctr"/>
        <c:lblOffset val="100"/>
        <c:noMultiLvlLbl val="0"/>
      </c:catAx>
      <c:valAx>
        <c:axId val="214588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8671"/>
        <c:crosses val="autoZero"/>
        <c:crossBetween val="between"/>
      </c:valAx>
      <c:spPr>
        <a:noFill/>
        <a:ln>
          <a:noFill/>
        </a:ln>
        <a:effectLst/>
      </c:spPr>
    </c:plotArea>
    <c:legend>
      <c:legendPos val="r"/>
      <c:layout>
        <c:manualLayout>
          <c:xMode val="edge"/>
          <c:yMode val="edge"/>
          <c:x val="0.7380882352941176"/>
          <c:y val="0.21851054877682274"/>
          <c:w val="0.1773529411764706"/>
          <c:h val="0.25763539099597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[Mariana Store^J Cleaned data.xlsx]Revenue By Product by Region!PivotTable4</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19140590697543"/>
          <c:y val="0.15971574583817688"/>
          <c:w val="0.80043936422445339"/>
          <c:h val="0.43763823393942053"/>
        </c:manualLayout>
      </c:layout>
      <c:barChart>
        <c:barDir val="col"/>
        <c:grouping val="clustered"/>
        <c:varyColors val="0"/>
        <c:ser>
          <c:idx val="0"/>
          <c:order val="0"/>
          <c:tx>
            <c:strRef>
              <c:f>'Revenue By Product by Region'!$B$3:$B$4</c:f>
              <c:strCache>
                <c:ptCount val="1"/>
                <c:pt idx="0">
                  <c:v>Just for Her</c:v>
                </c:pt>
              </c:strCache>
            </c:strRef>
          </c:tx>
          <c:spPr>
            <a:solidFill>
              <a:schemeClr val="accent1"/>
            </a:solidFill>
            <a:ln>
              <a:noFill/>
            </a:ln>
            <a:effectLst/>
          </c:spPr>
          <c:invertIfNegative val="0"/>
          <c:cat>
            <c:strRef>
              <c:f>'Revenue By Product by Region'!$A$5:$A$6</c:f>
              <c:strCache>
                <c:ptCount val="1"/>
                <c:pt idx="0">
                  <c:v>Central</c:v>
                </c:pt>
              </c:strCache>
            </c:strRef>
          </c:cat>
          <c:val>
            <c:numRef>
              <c:f>'Revenue By Product by Region'!$B$5:$B$6</c:f>
              <c:numCache>
                <c:formatCode>General</c:formatCode>
                <c:ptCount val="1"/>
                <c:pt idx="0">
                  <c:v>993279.4</c:v>
                </c:pt>
              </c:numCache>
            </c:numRef>
          </c:val>
          <c:extLst>
            <c:ext xmlns:c16="http://schemas.microsoft.com/office/drawing/2014/chart" uri="{C3380CC4-5D6E-409C-BE32-E72D297353CC}">
              <c16:uniqueId val="{00000000-544B-4CE0-B590-CFA52A25F4BE}"/>
            </c:ext>
          </c:extLst>
        </c:ser>
        <c:ser>
          <c:idx val="1"/>
          <c:order val="1"/>
          <c:tx>
            <c:strRef>
              <c:f>'Revenue By Product by Region'!$C$3:$C$4</c:f>
              <c:strCache>
                <c:ptCount val="1"/>
                <c:pt idx="0">
                  <c:v>Just for Men</c:v>
                </c:pt>
              </c:strCache>
            </c:strRef>
          </c:tx>
          <c:spPr>
            <a:solidFill>
              <a:schemeClr val="accent2"/>
            </a:solidFill>
            <a:ln>
              <a:noFill/>
            </a:ln>
            <a:effectLst/>
          </c:spPr>
          <c:invertIfNegative val="0"/>
          <c:cat>
            <c:strRef>
              <c:f>'Revenue By Product by Region'!$A$5:$A$6</c:f>
              <c:strCache>
                <c:ptCount val="1"/>
                <c:pt idx="0">
                  <c:v>Central</c:v>
                </c:pt>
              </c:strCache>
            </c:strRef>
          </c:cat>
          <c:val>
            <c:numRef>
              <c:f>'Revenue By Product by Region'!$C$5:$C$6</c:f>
              <c:numCache>
                <c:formatCode>General</c:formatCode>
                <c:ptCount val="1"/>
                <c:pt idx="0">
                  <c:v>88482.61</c:v>
                </c:pt>
              </c:numCache>
            </c:numRef>
          </c:val>
          <c:extLst>
            <c:ext xmlns:c16="http://schemas.microsoft.com/office/drawing/2014/chart" uri="{C3380CC4-5D6E-409C-BE32-E72D297353CC}">
              <c16:uniqueId val="{00000001-544B-4CE0-B590-CFA52A25F4BE}"/>
            </c:ext>
          </c:extLst>
        </c:ser>
        <c:ser>
          <c:idx val="2"/>
          <c:order val="2"/>
          <c:tx>
            <c:strRef>
              <c:f>'Revenue By Product by Region'!$D$3:$D$4</c:f>
              <c:strCache>
                <c:ptCount val="1"/>
                <c:pt idx="0">
                  <c:v>Kampala Foot Wear</c:v>
                </c:pt>
              </c:strCache>
            </c:strRef>
          </c:tx>
          <c:spPr>
            <a:solidFill>
              <a:schemeClr val="accent3"/>
            </a:solidFill>
            <a:ln>
              <a:noFill/>
            </a:ln>
            <a:effectLst/>
          </c:spPr>
          <c:invertIfNegative val="0"/>
          <c:cat>
            <c:strRef>
              <c:f>'Revenue By Product by Region'!$A$5:$A$6</c:f>
              <c:strCache>
                <c:ptCount val="1"/>
                <c:pt idx="0">
                  <c:v>Central</c:v>
                </c:pt>
              </c:strCache>
            </c:strRef>
          </c:cat>
          <c:val>
            <c:numRef>
              <c:f>'Revenue By Product by Region'!$D$5:$D$6</c:f>
              <c:numCache>
                <c:formatCode>General</c:formatCode>
                <c:ptCount val="1"/>
                <c:pt idx="0">
                  <c:v>418731.22</c:v>
                </c:pt>
              </c:numCache>
            </c:numRef>
          </c:val>
          <c:extLst>
            <c:ext xmlns:c16="http://schemas.microsoft.com/office/drawing/2014/chart" uri="{C3380CC4-5D6E-409C-BE32-E72D297353CC}">
              <c16:uniqueId val="{00000002-544B-4CE0-B590-CFA52A25F4BE}"/>
            </c:ext>
          </c:extLst>
        </c:ser>
        <c:ser>
          <c:idx val="3"/>
          <c:order val="3"/>
          <c:tx>
            <c:strRef>
              <c:f>'Revenue By Product by Region'!$E$3:$E$4</c:f>
              <c:strCache>
                <c:ptCount val="1"/>
                <c:pt idx="0">
                  <c:v>Kiddies Wear</c:v>
                </c:pt>
              </c:strCache>
            </c:strRef>
          </c:tx>
          <c:spPr>
            <a:solidFill>
              <a:schemeClr val="accent4"/>
            </a:solidFill>
            <a:ln>
              <a:noFill/>
            </a:ln>
            <a:effectLst/>
          </c:spPr>
          <c:invertIfNegative val="0"/>
          <c:cat>
            <c:strRef>
              <c:f>'Revenue By Product by Region'!$A$5:$A$6</c:f>
              <c:strCache>
                <c:ptCount val="1"/>
                <c:pt idx="0">
                  <c:v>Central</c:v>
                </c:pt>
              </c:strCache>
            </c:strRef>
          </c:cat>
          <c:val>
            <c:numRef>
              <c:f>'Revenue By Product by Region'!$E$5:$E$6</c:f>
              <c:numCache>
                <c:formatCode>General</c:formatCode>
                <c:ptCount val="1"/>
                <c:pt idx="0">
                  <c:v>458081.18</c:v>
                </c:pt>
              </c:numCache>
            </c:numRef>
          </c:val>
          <c:extLst>
            <c:ext xmlns:c16="http://schemas.microsoft.com/office/drawing/2014/chart" uri="{C3380CC4-5D6E-409C-BE32-E72D297353CC}">
              <c16:uniqueId val="{00000003-544B-4CE0-B590-CFA52A25F4BE}"/>
            </c:ext>
          </c:extLst>
        </c:ser>
        <c:ser>
          <c:idx val="4"/>
          <c:order val="4"/>
          <c:tx>
            <c:strRef>
              <c:f>'Revenue By Product by Region'!$F$3:$F$4</c:f>
              <c:strCache>
                <c:ptCount val="1"/>
                <c:pt idx="0">
                  <c:v>Summer Wear</c:v>
                </c:pt>
              </c:strCache>
            </c:strRef>
          </c:tx>
          <c:spPr>
            <a:solidFill>
              <a:schemeClr val="accent5"/>
            </a:solidFill>
            <a:ln>
              <a:noFill/>
            </a:ln>
            <a:effectLst/>
          </c:spPr>
          <c:invertIfNegative val="0"/>
          <c:cat>
            <c:strRef>
              <c:f>'Revenue By Product by Region'!$A$5:$A$6</c:f>
              <c:strCache>
                <c:ptCount val="1"/>
                <c:pt idx="0">
                  <c:v>Central</c:v>
                </c:pt>
              </c:strCache>
            </c:strRef>
          </c:cat>
          <c:val>
            <c:numRef>
              <c:f>'Revenue By Product by Region'!$F$5:$F$6</c:f>
              <c:numCache>
                <c:formatCode>General</c:formatCode>
                <c:ptCount val="1"/>
                <c:pt idx="0">
                  <c:v>828593.63</c:v>
                </c:pt>
              </c:numCache>
            </c:numRef>
          </c:val>
          <c:extLst>
            <c:ext xmlns:c16="http://schemas.microsoft.com/office/drawing/2014/chart" uri="{C3380CC4-5D6E-409C-BE32-E72D297353CC}">
              <c16:uniqueId val="{00000004-544B-4CE0-B590-CFA52A25F4BE}"/>
            </c:ext>
          </c:extLst>
        </c:ser>
        <c:ser>
          <c:idx val="5"/>
          <c:order val="5"/>
          <c:tx>
            <c:strRef>
              <c:f>'Revenue By Product by Region'!$G$3:$G$4</c:f>
              <c:strCache>
                <c:ptCount val="1"/>
                <c:pt idx="0">
                  <c:v>Women's Beach Wear</c:v>
                </c:pt>
              </c:strCache>
            </c:strRef>
          </c:tx>
          <c:spPr>
            <a:solidFill>
              <a:schemeClr val="accent6"/>
            </a:solidFill>
            <a:ln>
              <a:noFill/>
            </a:ln>
            <a:effectLst/>
          </c:spPr>
          <c:invertIfNegative val="0"/>
          <c:cat>
            <c:strRef>
              <c:f>'Revenue By Product by Region'!$A$5:$A$6</c:f>
              <c:strCache>
                <c:ptCount val="1"/>
                <c:pt idx="0">
                  <c:v>Central</c:v>
                </c:pt>
              </c:strCache>
            </c:strRef>
          </c:cat>
          <c:val>
            <c:numRef>
              <c:f>'Revenue By Product by Region'!$G$5:$G$6</c:f>
              <c:numCache>
                <c:formatCode>General</c:formatCode>
                <c:ptCount val="1"/>
                <c:pt idx="0">
                  <c:v>30865.52</c:v>
                </c:pt>
              </c:numCache>
            </c:numRef>
          </c:val>
          <c:extLst>
            <c:ext xmlns:c16="http://schemas.microsoft.com/office/drawing/2014/chart" uri="{C3380CC4-5D6E-409C-BE32-E72D297353CC}">
              <c16:uniqueId val="{00000001-CA0F-438A-9A96-172F4D5E41DF}"/>
            </c:ext>
          </c:extLst>
        </c:ser>
        <c:dLbls>
          <c:showLegendKey val="0"/>
          <c:showVal val="0"/>
          <c:showCatName val="0"/>
          <c:showSerName val="0"/>
          <c:showPercent val="0"/>
          <c:showBubbleSize val="0"/>
        </c:dLbls>
        <c:gapWidth val="219"/>
        <c:overlap val="-27"/>
        <c:axId val="1922446351"/>
        <c:axId val="1922447311"/>
      </c:barChart>
      <c:catAx>
        <c:axId val="1922446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2494833591897663"/>
              <c:y val="0.676007281819577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447311"/>
        <c:crosses val="autoZero"/>
        <c:auto val="1"/>
        <c:lblAlgn val="ctr"/>
        <c:lblOffset val="100"/>
        <c:noMultiLvlLbl val="0"/>
      </c:catAx>
      <c:valAx>
        <c:axId val="19224473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REVENUE</a:t>
                </a:r>
              </a:p>
            </c:rich>
          </c:tx>
          <c:layout>
            <c:manualLayout>
              <c:xMode val="edge"/>
              <c:yMode val="edge"/>
              <c:x val="0"/>
              <c:y val="0.192504112473406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446351"/>
        <c:crosses val="autoZero"/>
        <c:crossBetween val="between"/>
      </c:valAx>
      <c:spPr>
        <a:noFill/>
        <a:ln>
          <a:noFill/>
        </a:ln>
        <a:effectLst/>
      </c:spPr>
    </c:plotArea>
    <c:legend>
      <c:legendPos val="r"/>
      <c:layout>
        <c:manualLayout>
          <c:xMode val="edge"/>
          <c:yMode val="edge"/>
          <c:x val="0.2057679360711881"/>
          <c:y val="4.2979843397012697E-2"/>
          <c:w val="0.31935690659485411"/>
          <c:h val="0.772987081350207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565150</xdr:colOff>
      <xdr:row>2</xdr:row>
      <xdr:rowOff>88900</xdr:rowOff>
    </xdr:from>
    <xdr:to>
      <xdr:col>13</xdr:col>
      <xdr:colOff>260350</xdr:colOff>
      <xdr:row>17</xdr:row>
      <xdr:rowOff>69850</xdr:rowOff>
    </xdr:to>
    <xdr:graphicFrame macro="">
      <xdr:nvGraphicFramePr>
        <xdr:cNvPr id="2" name="Chart 1">
          <a:extLst>
            <a:ext uri="{FF2B5EF4-FFF2-40B4-BE49-F238E27FC236}">
              <a16:creationId xmlns:a16="http://schemas.microsoft.com/office/drawing/2014/main" id="{4AA03238-9F7B-8B26-006E-0765B08CA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31750</xdr:colOff>
      <xdr:row>2</xdr:row>
      <xdr:rowOff>12700</xdr:rowOff>
    </xdr:from>
    <xdr:to>
      <xdr:col>10</xdr:col>
      <xdr:colOff>336550</xdr:colOff>
      <xdr:row>16</xdr:row>
      <xdr:rowOff>177800</xdr:rowOff>
    </xdr:to>
    <xdr:graphicFrame macro="">
      <xdr:nvGraphicFramePr>
        <xdr:cNvPr id="2" name="Chart 1">
          <a:extLst>
            <a:ext uri="{FF2B5EF4-FFF2-40B4-BE49-F238E27FC236}">
              <a16:creationId xmlns:a16="http://schemas.microsoft.com/office/drawing/2014/main" id="{89F733AB-E5B8-E300-0320-E71B3BA65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xdr:colOff>
      <xdr:row>2</xdr:row>
      <xdr:rowOff>6350</xdr:rowOff>
    </xdr:from>
    <xdr:to>
      <xdr:col>10</xdr:col>
      <xdr:colOff>330200</xdr:colOff>
      <xdr:row>16</xdr:row>
      <xdr:rowOff>171450</xdr:rowOff>
    </xdr:to>
    <xdr:graphicFrame macro="">
      <xdr:nvGraphicFramePr>
        <xdr:cNvPr id="2" name="Chart 1">
          <a:extLst>
            <a:ext uri="{FF2B5EF4-FFF2-40B4-BE49-F238E27FC236}">
              <a16:creationId xmlns:a16="http://schemas.microsoft.com/office/drawing/2014/main" id="{24337E77-ED48-0214-6549-C9F6F0898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15875</xdr:colOff>
      <xdr:row>13</xdr:row>
      <xdr:rowOff>6350</xdr:rowOff>
    </xdr:from>
    <xdr:to>
      <xdr:col>16</xdr:col>
      <xdr:colOff>320675</xdr:colOff>
      <xdr:row>27</xdr:row>
      <xdr:rowOff>171450</xdr:rowOff>
    </xdr:to>
    <xdr:graphicFrame macro="">
      <xdr:nvGraphicFramePr>
        <xdr:cNvPr id="2" name="Chart 1">
          <a:extLst>
            <a:ext uri="{FF2B5EF4-FFF2-40B4-BE49-F238E27FC236}">
              <a16:creationId xmlns:a16="http://schemas.microsoft.com/office/drawing/2014/main" id="{E167390B-FE66-25A9-BFE9-FF028FF2C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546100</xdr:colOff>
      <xdr:row>5</xdr:row>
      <xdr:rowOff>38100</xdr:rowOff>
    </xdr:from>
    <xdr:to>
      <xdr:col>24</xdr:col>
      <xdr:colOff>546100</xdr:colOff>
      <xdr:row>19</xdr:row>
      <xdr:rowOff>79372</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66CA85B-638A-3EEE-B340-E9E97A8F47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789400" y="958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552450</xdr:colOff>
      <xdr:row>2</xdr:row>
      <xdr:rowOff>12700</xdr:rowOff>
    </xdr:from>
    <xdr:to>
      <xdr:col>12</xdr:col>
      <xdr:colOff>247650</xdr:colOff>
      <xdr:row>16</xdr:row>
      <xdr:rowOff>177800</xdr:rowOff>
    </xdr:to>
    <xdr:graphicFrame macro="">
      <xdr:nvGraphicFramePr>
        <xdr:cNvPr id="3" name="Chart 2">
          <a:extLst>
            <a:ext uri="{FF2B5EF4-FFF2-40B4-BE49-F238E27FC236}">
              <a16:creationId xmlns:a16="http://schemas.microsoft.com/office/drawing/2014/main" id="{CCD380F9-DDCE-86D1-1810-57950FFFC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990600</xdr:colOff>
      <xdr:row>9</xdr:row>
      <xdr:rowOff>6350</xdr:rowOff>
    </xdr:from>
    <xdr:to>
      <xdr:col>6</xdr:col>
      <xdr:colOff>901700</xdr:colOff>
      <xdr:row>22</xdr:row>
      <xdr:rowOff>19050</xdr:rowOff>
    </xdr:to>
    <xdr:graphicFrame macro="">
      <xdr:nvGraphicFramePr>
        <xdr:cNvPr id="3" name="Chart 2">
          <a:extLst>
            <a:ext uri="{FF2B5EF4-FFF2-40B4-BE49-F238E27FC236}">
              <a16:creationId xmlns:a16="http://schemas.microsoft.com/office/drawing/2014/main" id="{408D84EA-D682-7F87-6A40-047FBD6E3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8</xdr:row>
      <xdr:rowOff>171450</xdr:rowOff>
    </xdr:from>
    <xdr:to>
      <xdr:col>15</xdr:col>
      <xdr:colOff>38100</xdr:colOff>
      <xdr:row>22</xdr:row>
      <xdr:rowOff>6350</xdr:rowOff>
    </xdr:to>
    <xdr:graphicFrame macro="">
      <xdr:nvGraphicFramePr>
        <xdr:cNvPr id="4" name="Chart 3">
          <a:extLst>
            <a:ext uri="{FF2B5EF4-FFF2-40B4-BE49-F238E27FC236}">
              <a16:creationId xmlns:a16="http://schemas.microsoft.com/office/drawing/2014/main" id="{D56F23BE-349A-6E1B-BC5C-ECB64BD91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0</xdr:row>
      <xdr:rowOff>82550</xdr:rowOff>
    </xdr:from>
    <xdr:to>
      <xdr:col>20</xdr:col>
      <xdr:colOff>0</xdr:colOff>
      <xdr:row>3</xdr:row>
      <xdr:rowOff>69850</xdr:rowOff>
    </xdr:to>
    <xdr:sp macro="" textlink="">
      <xdr:nvSpPr>
        <xdr:cNvPr id="2" name="Rectangle: Rounded Corners 1">
          <a:extLst>
            <a:ext uri="{FF2B5EF4-FFF2-40B4-BE49-F238E27FC236}">
              <a16:creationId xmlns:a16="http://schemas.microsoft.com/office/drawing/2014/main" id="{62B57267-FC35-550F-326F-F354903F87E4}"/>
            </a:ext>
          </a:extLst>
        </xdr:cNvPr>
        <xdr:cNvSpPr/>
      </xdr:nvSpPr>
      <xdr:spPr>
        <a:xfrm>
          <a:off x="57150" y="82550"/>
          <a:ext cx="12134850" cy="5397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a:solidFill>
              <a:srgbClr val="002060"/>
            </a:solidFill>
            <a:latin typeface="Berlin Sans FB" panose="020E0602020502020306" pitchFamily="34" charset="0"/>
          </a:endParaRPr>
        </a:p>
      </xdr:txBody>
    </xdr:sp>
    <xdr:clientData/>
  </xdr:twoCellAnchor>
  <xdr:twoCellAnchor>
    <xdr:from>
      <xdr:col>15</xdr:col>
      <xdr:colOff>425450</xdr:colOff>
      <xdr:row>3</xdr:row>
      <xdr:rowOff>146050</xdr:rowOff>
    </xdr:from>
    <xdr:to>
      <xdr:col>19</xdr:col>
      <xdr:colOff>596900</xdr:colOff>
      <xdr:row>33</xdr:row>
      <xdr:rowOff>0</xdr:rowOff>
    </xdr:to>
    <xdr:sp macro="" textlink="">
      <xdr:nvSpPr>
        <xdr:cNvPr id="3" name="Rectangle: Rounded Corners 2">
          <a:extLst>
            <a:ext uri="{FF2B5EF4-FFF2-40B4-BE49-F238E27FC236}">
              <a16:creationId xmlns:a16="http://schemas.microsoft.com/office/drawing/2014/main" id="{AFC84492-9E7E-E265-3B18-1D2C7CC3A8B0}"/>
            </a:ext>
          </a:extLst>
        </xdr:cNvPr>
        <xdr:cNvSpPr/>
      </xdr:nvSpPr>
      <xdr:spPr>
        <a:xfrm>
          <a:off x="9569450" y="698500"/>
          <a:ext cx="2609850" cy="53784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82550</xdr:colOff>
      <xdr:row>21</xdr:row>
      <xdr:rowOff>25400</xdr:rowOff>
    </xdr:from>
    <xdr:to>
      <xdr:col>6</xdr:col>
      <xdr:colOff>190500</xdr:colOff>
      <xdr:row>32</xdr:row>
      <xdr:rowOff>171450</xdr:rowOff>
    </xdr:to>
    <xdr:sp macro="" textlink="">
      <xdr:nvSpPr>
        <xdr:cNvPr id="6" name="Rectangle: Rounded Corners 5">
          <a:extLst>
            <a:ext uri="{FF2B5EF4-FFF2-40B4-BE49-F238E27FC236}">
              <a16:creationId xmlns:a16="http://schemas.microsoft.com/office/drawing/2014/main" id="{224BBB75-F637-C2B3-8697-6BCC4B073F77}"/>
            </a:ext>
          </a:extLst>
        </xdr:cNvPr>
        <xdr:cNvSpPr/>
      </xdr:nvSpPr>
      <xdr:spPr>
        <a:xfrm>
          <a:off x="82550" y="3892550"/>
          <a:ext cx="3765550" cy="2171700"/>
        </a:xfrm>
        <a:prstGeom prst="roundRect">
          <a:avLst>
            <a:gd name="adj" fmla="val 16977"/>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33</xdr:row>
      <xdr:rowOff>0</xdr:rowOff>
    </xdr:from>
    <xdr:to>
      <xdr:col>0</xdr:col>
      <xdr:colOff>0</xdr:colOff>
      <xdr:row>33</xdr:row>
      <xdr:rowOff>0</xdr:rowOff>
    </xdr:to>
    <xdr:sp macro="" textlink="">
      <xdr:nvSpPr>
        <xdr:cNvPr id="7" name="Rectangle: Rounded Corners 6">
          <a:extLst>
            <a:ext uri="{FF2B5EF4-FFF2-40B4-BE49-F238E27FC236}">
              <a16:creationId xmlns:a16="http://schemas.microsoft.com/office/drawing/2014/main" id="{55BF441D-3BAD-2E0A-6B25-680DB5AB0E5F}"/>
            </a:ext>
          </a:extLst>
        </xdr:cNvPr>
        <xdr:cNvSpPr/>
      </xdr:nvSpPr>
      <xdr:spPr>
        <a:xfrm>
          <a:off x="0" y="6076950"/>
          <a:ext cx="0" cy="0"/>
        </a:xfrm>
        <a:prstGeom prst="roundRect">
          <a:avLst>
            <a:gd name="adj" fmla="val 1697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33</xdr:row>
      <xdr:rowOff>0</xdr:rowOff>
    </xdr:from>
    <xdr:to>
      <xdr:col>0</xdr:col>
      <xdr:colOff>0</xdr:colOff>
      <xdr:row>33</xdr:row>
      <xdr:rowOff>0</xdr:rowOff>
    </xdr:to>
    <xdr:sp macro="" textlink="">
      <xdr:nvSpPr>
        <xdr:cNvPr id="8" name="Rectangle: Rounded Corners 7">
          <a:extLst>
            <a:ext uri="{FF2B5EF4-FFF2-40B4-BE49-F238E27FC236}">
              <a16:creationId xmlns:a16="http://schemas.microsoft.com/office/drawing/2014/main" id="{7FD935CE-03C5-091A-5654-40CB1701868B}"/>
            </a:ext>
          </a:extLst>
        </xdr:cNvPr>
        <xdr:cNvSpPr/>
      </xdr:nvSpPr>
      <xdr:spPr>
        <a:xfrm>
          <a:off x="0" y="6076950"/>
          <a:ext cx="0" cy="0"/>
        </a:xfrm>
        <a:prstGeom prst="roundRect">
          <a:avLst>
            <a:gd name="adj" fmla="val 1697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241300</xdr:colOff>
      <xdr:row>21</xdr:row>
      <xdr:rowOff>133350</xdr:rowOff>
    </xdr:from>
    <xdr:to>
      <xdr:col>10</xdr:col>
      <xdr:colOff>57150</xdr:colOff>
      <xdr:row>32</xdr:row>
      <xdr:rowOff>146050</xdr:rowOff>
    </xdr:to>
    <xdr:sp macro="" textlink="">
      <xdr:nvSpPr>
        <xdr:cNvPr id="9" name="Rectangle: Rounded Corners 8">
          <a:extLst>
            <a:ext uri="{FF2B5EF4-FFF2-40B4-BE49-F238E27FC236}">
              <a16:creationId xmlns:a16="http://schemas.microsoft.com/office/drawing/2014/main" id="{89EA27C9-E5A5-3F18-D673-71704521B688}"/>
            </a:ext>
          </a:extLst>
        </xdr:cNvPr>
        <xdr:cNvSpPr/>
      </xdr:nvSpPr>
      <xdr:spPr>
        <a:xfrm>
          <a:off x="3898900" y="4000500"/>
          <a:ext cx="2254250" cy="2038350"/>
        </a:xfrm>
        <a:prstGeom prst="roundRect">
          <a:avLst>
            <a:gd name="adj" fmla="val 16977"/>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120650</xdr:colOff>
      <xdr:row>21</xdr:row>
      <xdr:rowOff>95250</xdr:rowOff>
    </xdr:from>
    <xdr:to>
      <xdr:col>15</xdr:col>
      <xdr:colOff>349250</xdr:colOff>
      <xdr:row>32</xdr:row>
      <xdr:rowOff>171450</xdr:rowOff>
    </xdr:to>
    <xdr:sp macro="" textlink="">
      <xdr:nvSpPr>
        <xdr:cNvPr id="10" name="Rectangle: Rounded Corners 9">
          <a:extLst>
            <a:ext uri="{FF2B5EF4-FFF2-40B4-BE49-F238E27FC236}">
              <a16:creationId xmlns:a16="http://schemas.microsoft.com/office/drawing/2014/main" id="{E797F9D8-F45F-847F-DF0E-9AA34A123E74}"/>
            </a:ext>
          </a:extLst>
        </xdr:cNvPr>
        <xdr:cNvSpPr/>
      </xdr:nvSpPr>
      <xdr:spPr>
        <a:xfrm>
          <a:off x="6216650" y="3962400"/>
          <a:ext cx="3276600" cy="2101850"/>
        </a:xfrm>
        <a:prstGeom prst="roundRect">
          <a:avLst>
            <a:gd name="adj" fmla="val 16977"/>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25400</xdr:colOff>
      <xdr:row>9</xdr:row>
      <xdr:rowOff>114300</xdr:rowOff>
    </xdr:from>
    <xdr:to>
      <xdr:col>5</xdr:col>
      <xdr:colOff>146050</xdr:colOff>
      <xdr:row>20</xdr:row>
      <xdr:rowOff>107950</xdr:rowOff>
    </xdr:to>
    <xdr:sp macro="" textlink="">
      <xdr:nvSpPr>
        <xdr:cNvPr id="14" name="Rectangle: Rounded Corners 13">
          <a:extLst>
            <a:ext uri="{FF2B5EF4-FFF2-40B4-BE49-F238E27FC236}">
              <a16:creationId xmlns:a16="http://schemas.microsoft.com/office/drawing/2014/main" id="{3E61359A-62EF-CE83-5FFE-15F81C823CEC}"/>
            </a:ext>
          </a:extLst>
        </xdr:cNvPr>
        <xdr:cNvSpPr/>
      </xdr:nvSpPr>
      <xdr:spPr>
        <a:xfrm>
          <a:off x="25400" y="1771650"/>
          <a:ext cx="3168650" cy="2019300"/>
        </a:xfrm>
        <a:prstGeom prst="roundRect">
          <a:avLst>
            <a:gd name="adj" fmla="val 16977"/>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203200</xdr:colOff>
      <xdr:row>9</xdr:row>
      <xdr:rowOff>114300</xdr:rowOff>
    </xdr:from>
    <xdr:to>
      <xdr:col>11</xdr:col>
      <xdr:colOff>50800</xdr:colOff>
      <xdr:row>20</xdr:row>
      <xdr:rowOff>82550</xdr:rowOff>
    </xdr:to>
    <xdr:sp macro="" textlink="">
      <xdr:nvSpPr>
        <xdr:cNvPr id="15" name="Rectangle: Rounded Corners 14">
          <a:extLst>
            <a:ext uri="{FF2B5EF4-FFF2-40B4-BE49-F238E27FC236}">
              <a16:creationId xmlns:a16="http://schemas.microsoft.com/office/drawing/2014/main" id="{77027C4B-8F41-8537-BC6F-2200D9492B13}"/>
            </a:ext>
          </a:extLst>
        </xdr:cNvPr>
        <xdr:cNvSpPr/>
      </xdr:nvSpPr>
      <xdr:spPr>
        <a:xfrm>
          <a:off x="3251200" y="1771650"/>
          <a:ext cx="3505200" cy="1993900"/>
        </a:xfrm>
        <a:prstGeom prst="roundRect">
          <a:avLst>
            <a:gd name="adj" fmla="val 16977"/>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107950</xdr:colOff>
      <xdr:row>9</xdr:row>
      <xdr:rowOff>120650</xdr:rowOff>
    </xdr:from>
    <xdr:to>
      <xdr:col>15</xdr:col>
      <xdr:colOff>317500</xdr:colOff>
      <xdr:row>20</xdr:row>
      <xdr:rowOff>107950</xdr:rowOff>
    </xdr:to>
    <xdr:sp macro="" textlink="">
      <xdr:nvSpPr>
        <xdr:cNvPr id="16" name="Rectangle: Rounded Corners 15">
          <a:extLst>
            <a:ext uri="{FF2B5EF4-FFF2-40B4-BE49-F238E27FC236}">
              <a16:creationId xmlns:a16="http://schemas.microsoft.com/office/drawing/2014/main" id="{3D75D7A2-E91E-E0A6-AD0F-7CAC1E2A785D}"/>
            </a:ext>
          </a:extLst>
        </xdr:cNvPr>
        <xdr:cNvSpPr/>
      </xdr:nvSpPr>
      <xdr:spPr>
        <a:xfrm>
          <a:off x="6813550" y="1778000"/>
          <a:ext cx="2647950" cy="2012950"/>
        </a:xfrm>
        <a:prstGeom prst="roundRect">
          <a:avLst>
            <a:gd name="adj" fmla="val 16977"/>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4</xdr:row>
      <xdr:rowOff>31750</xdr:rowOff>
    </xdr:from>
    <xdr:to>
      <xdr:col>2</xdr:col>
      <xdr:colOff>533400</xdr:colOff>
      <xdr:row>8</xdr:row>
      <xdr:rowOff>146050</xdr:rowOff>
    </xdr:to>
    <xdr:sp macro="" textlink="">
      <xdr:nvSpPr>
        <xdr:cNvPr id="17" name="Rectangle: Rounded Corners 16">
          <a:extLst>
            <a:ext uri="{FF2B5EF4-FFF2-40B4-BE49-F238E27FC236}">
              <a16:creationId xmlns:a16="http://schemas.microsoft.com/office/drawing/2014/main" id="{7C1F8575-9F18-D2EF-DE41-838303308D36}"/>
            </a:ext>
          </a:extLst>
        </xdr:cNvPr>
        <xdr:cNvSpPr/>
      </xdr:nvSpPr>
      <xdr:spPr>
        <a:xfrm>
          <a:off x="177800" y="768350"/>
          <a:ext cx="1574800" cy="8509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44450</xdr:colOff>
      <xdr:row>4</xdr:row>
      <xdr:rowOff>31750</xdr:rowOff>
    </xdr:from>
    <xdr:to>
      <xdr:col>5</xdr:col>
      <xdr:colOff>501650</xdr:colOff>
      <xdr:row>8</xdr:row>
      <xdr:rowOff>146050</xdr:rowOff>
    </xdr:to>
    <xdr:sp macro="" textlink="">
      <xdr:nvSpPr>
        <xdr:cNvPr id="19" name="Rectangle: Rounded Corners 18">
          <a:extLst>
            <a:ext uri="{FF2B5EF4-FFF2-40B4-BE49-F238E27FC236}">
              <a16:creationId xmlns:a16="http://schemas.microsoft.com/office/drawing/2014/main" id="{7631A130-2E75-B486-9BBB-A1C6E8C0CF48}"/>
            </a:ext>
          </a:extLst>
        </xdr:cNvPr>
        <xdr:cNvSpPr/>
      </xdr:nvSpPr>
      <xdr:spPr>
        <a:xfrm>
          <a:off x="1873250" y="768350"/>
          <a:ext cx="1676400" cy="8509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76200</xdr:colOff>
      <xdr:row>4</xdr:row>
      <xdr:rowOff>31750</xdr:rowOff>
    </xdr:from>
    <xdr:to>
      <xdr:col>9</xdr:col>
      <xdr:colOff>31750</xdr:colOff>
      <xdr:row>8</xdr:row>
      <xdr:rowOff>146050</xdr:rowOff>
    </xdr:to>
    <xdr:sp macro="" textlink="">
      <xdr:nvSpPr>
        <xdr:cNvPr id="20" name="Rectangle: Rounded Corners 19">
          <a:extLst>
            <a:ext uri="{FF2B5EF4-FFF2-40B4-BE49-F238E27FC236}">
              <a16:creationId xmlns:a16="http://schemas.microsoft.com/office/drawing/2014/main" id="{58419EBA-5722-6A69-A82C-890CDC1DD9C7}"/>
            </a:ext>
          </a:extLst>
        </xdr:cNvPr>
        <xdr:cNvSpPr/>
      </xdr:nvSpPr>
      <xdr:spPr>
        <a:xfrm>
          <a:off x="3733800" y="768350"/>
          <a:ext cx="1784350" cy="8509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273050</xdr:colOff>
      <xdr:row>4</xdr:row>
      <xdr:rowOff>31750</xdr:rowOff>
    </xdr:from>
    <xdr:to>
      <xdr:col>12</xdr:col>
      <xdr:colOff>184150</xdr:colOff>
      <xdr:row>8</xdr:row>
      <xdr:rowOff>146050</xdr:rowOff>
    </xdr:to>
    <xdr:sp macro="" textlink="">
      <xdr:nvSpPr>
        <xdr:cNvPr id="21" name="Rectangle: Rounded Corners 20">
          <a:extLst>
            <a:ext uri="{FF2B5EF4-FFF2-40B4-BE49-F238E27FC236}">
              <a16:creationId xmlns:a16="http://schemas.microsoft.com/office/drawing/2014/main" id="{44E3130B-4010-2791-31FF-98B345BCB62A}"/>
            </a:ext>
          </a:extLst>
        </xdr:cNvPr>
        <xdr:cNvSpPr/>
      </xdr:nvSpPr>
      <xdr:spPr>
        <a:xfrm>
          <a:off x="5759450" y="768350"/>
          <a:ext cx="1739900" cy="8509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381000</xdr:colOff>
      <xdr:row>4</xdr:row>
      <xdr:rowOff>31750</xdr:rowOff>
    </xdr:from>
    <xdr:to>
      <xdr:col>15</xdr:col>
      <xdr:colOff>101600</xdr:colOff>
      <xdr:row>8</xdr:row>
      <xdr:rowOff>146050</xdr:rowOff>
    </xdr:to>
    <xdr:sp macro="" textlink="">
      <xdr:nvSpPr>
        <xdr:cNvPr id="22" name="Rectangle: Rounded Corners 21">
          <a:extLst>
            <a:ext uri="{FF2B5EF4-FFF2-40B4-BE49-F238E27FC236}">
              <a16:creationId xmlns:a16="http://schemas.microsoft.com/office/drawing/2014/main" id="{A93DF36C-1A79-0AF7-E838-D9B204EF0D66}"/>
            </a:ext>
          </a:extLst>
        </xdr:cNvPr>
        <xdr:cNvSpPr/>
      </xdr:nvSpPr>
      <xdr:spPr>
        <a:xfrm>
          <a:off x="7696200" y="768350"/>
          <a:ext cx="1549400" cy="8509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158750</xdr:colOff>
      <xdr:row>9</xdr:row>
      <xdr:rowOff>165100</xdr:rowOff>
    </xdr:from>
    <xdr:to>
      <xdr:col>5</xdr:col>
      <xdr:colOff>0</xdr:colOff>
      <xdr:row>11</xdr:row>
      <xdr:rowOff>127000</xdr:rowOff>
    </xdr:to>
    <xdr:sp macro="" textlink="">
      <xdr:nvSpPr>
        <xdr:cNvPr id="23" name="Rectangle: Rounded Corners 22">
          <a:extLst>
            <a:ext uri="{FF2B5EF4-FFF2-40B4-BE49-F238E27FC236}">
              <a16:creationId xmlns:a16="http://schemas.microsoft.com/office/drawing/2014/main" id="{0F9361C5-B3A5-5B4A-5AA1-4AE2D3A25AC3}"/>
            </a:ext>
          </a:extLst>
        </xdr:cNvPr>
        <xdr:cNvSpPr/>
      </xdr:nvSpPr>
      <xdr:spPr>
        <a:xfrm>
          <a:off x="158750" y="1822450"/>
          <a:ext cx="2889250" cy="33020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361950</xdr:colOff>
      <xdr:row>9</xdr:row>
      <xdr:rowOff>152400</xdr:rowOff>
    </xdr:from>
    <xdr:to>
      <xdr:col>10</xdr:col>
      <xdr:colOff>520700</xdr:colOff>
      <xdr:row>11</xdr:row>
      <xdr:rowOff>120650</xdr:rowOff>
    </xdr:to>
    <xdr:sp macro="" textlink="">
      <xdr:nvSpPr>
        <xdr:cNvPr id="24" name="Rectangle: Rounded Corners 23">
          <a:extLst>
            <a:ext uri="{FF2B5EF4-FFF2-40B4-BE49-F238E27FC236}">
              <a16:creationId xmlns:a16="http://schemas.microsoft.com/office/drawing/2014/main" id="{072F9229-EA5D-F3DF-FE6B-9452DF450FD3}"/>
            </a:ext>
          </a:extLst>
        </xdr:cNvPr>
        <xdr:cNvSpPr/>
      </xdr:nvSpPr>
      <xdr:spPr>
        <a:xfrm>
          <a:off x="3409950" y="1809750"/>
          <a:ext cx="3206750" cy="33655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152400</xdr:colOff>
      <xdr:row>9</xdr:row>
      <xdr:rowOff>177800</xdr:rowOff>
    </xdr:from>
    <xdr:to>
      <xdr:col>15</xdr:col>
      <xdr:colOff>266700</xdr:colOff>
      <xdr:row>11</xdr:row>
      <xdr:rowOff>152400</xdr:rowOff>
    </xdr:to>
    <xdr:sp macro="" textlink="">
      <xdr:nvSpPr>
        <xdr:cNvPr id="25" name="Rectangle: Rounded Corners 24">
          <a:extLst>
            <a:ext uri="{FF2B5EF4-FFF2-40B4-BE49-F238E27FC236}">
              <a16:creationId xmlns:a16="http://schemas.microsoft.com/office/drawing/2014/main" id="{93878B59-4742-7F49-BDB6-A4446922CDBB}"/>
            </a:ext>
          </a:extLst>
        </xdr:cNvPr>
        <xdr:cNvSpPr/>
      </xdr:nvSpPr>
      <xdr:spPr>
        <a:xfrm>
          <a:off x="6858000" y="1835150"/>
          <a:ext cx="2552700" cy="34290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368300</xdr:colOff>
      <xdr:row>9</xdr:row>
      <xdr:rowOff>158750</xdr:rowOff>
    </xdr:from>
    <xdr:to>
      <xdr:col>4</xdr:col>
      <xdr:colOff>215900</xdr:colOff>
      <xdr:row>11</xdr:row>
      <xdr:rowOff>63500</xdr:rowOff>
    </xdr:to>
    <xdr:sp macro="" textlink="">
      <xdr:nvSpPr>
        <xdr:cNvPr id="26" name="TextBox 25">
          <a:extLst>
            <a:ext uri="{FF2B5EF4-FFF2-40B4-BE49-F238E27FC236}">
              <a16:creationId xmlns:a16="http://schemas.microsoft.com/office/drawing/2014/main" id="{4A2136AF-7141-62B0-D4D4-AF8835EC9FCD}"/>
            </a:ext>
          </a:extLst>
        </xdr:cNvPr>
        <xdr:cNvSpPr txBox="1"/>
      </xdr:nvSpPr>
      <xdr:spPr>
        <a:xfrm>
          <a:off x="368300" y="1816100"/>
          <a:ext cx="22860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1">
                  <a:lumMod val="40000"/>
                  <a:lumOff val="60000"/>
                </a:schemeClr>
              </a:solidFill>
            </a:rPr>
            <a:t>REVENUE BY DAY OF THE WEEK</a:t>
          </a:r>
        </a:p>
      </xdr:txBody>
    </xdr:sp>
    <xdr:clientData/>
  </xdr:twoCellAnchor>
  <xdr:twoCellAnchor>
    <xdr:from>
      <xdr:col>0</xdr:col>
      <xdr:colOff>469900</xdr:colOff>
      <xdr:row>0</xdr:row>
      <xdr:rowOff>114300</xdr:rowOff>
    </xdr:from>
    <xdr:to>
      <xdr:col>11</xdr:col>
      <xdr:colOff>571500</xdr:colOff>
      <xdr:row>3</xdr:row>
      <xdr:rowOff>19050</xdr:rowOff>
    </xdr:to>
    <xdr:sp macro="" textlink="">
      <xdr:nvSpPr>
        <xdr:cNvPr id="27" name="TextBox 26">
          <a:extLst>
            <a:ext uri="{FF2B5EF4-FFF2-40B4-BE49-F238E27FC236}">
              <a16:creationId xmlns:a16="http://schemas.microsoft.com/office/drawing/2014/main" id="{613E95F1-12DE-0A90-9553-70A06723AF1A}"/>
            </a:ext>
          </a:extLst>
        </xdr:cNvPr>
        <xdr:cNvSpPr txBox="1"/>
      </xdr:nvSpPr>
      <xdr:spPr>
        <a:xfrm>
          <a:off x="469900" y="114300"/>
          <a:ext cx="68072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2060"/>
              </a:solidFill>
              <a:latin typeface="Berlin Sans FB" panose="020E0602020502020306" pitchFamily="34" charset="0"/>
            </a:rPr>
            <a:t>MARINA MALL DASHBOARD 2022-2023</a:t>
          </a:r>
        </a:p>
      </xdr:txBody>
    </xdr:sp>
    <xdr:clientData/>
  </xdr:twoCellAnchor>
  <xdr:twoCellAnchor>
    <xdr:from>
      <xdr:col>12</xdr:col>
      <xdr:colOff>228600</xdr:colOff>
      <xdr:row>9</xdr:row>
      <xdr:rowOff>127000</xdr:rowOff>
    </xdr:from>
    <xdr:to>
      <xdr:col>14</xdr:col>
      <xdr:colOff>355600</xdr:colOff>
      <xdr:row>10</xdr:row>
      <xdr:rowOff>133350</xdr:rowOff>
    </xdr:to>
    <xdr:sp macro="" textlink="">
      <xdr:nvSpPr>
        <xdr:cNvPr id="29" name="TextBox 28">
          <a:extLst>
            <a:ext uri="{FF2B5EF4-FFF2-40B4-BE49-F238E27FC236}">
              <a16:creationId xmlns:a16="http://schemas.microsoft.com/office/drawing/2014/main" id="{D287E1E9-A6F4-406B-478F-60E9F6D430BD}"/>
            </a:ext>
          </a:extLst>
        </xdr:cNvPr>
        <xdr:cNvSpPr txBox="1"/>
      </xdr:nvSpPr>
      <xdr:spPr>
        <a:xfrm>
          <a:off x="7543800" y="1784350"/>
          <a:ext cx="1346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40000"/>
                  <a:lumOff val="60000"/>
                </a:schemeClr>
              </a:solidFill>
            </a:rPr>
            <a:t>REVENUE BY YEAR</a:t>
          </a:r>
        </a:p>
      </xdr:txBody>
    </xdr:sp>
    <xdr:clientData/>
  </xdr:twoCellAnchor>
  <xdr:twoCellAnchor>
    <xdr:from>
      <xdr:col>0</xdr:col>
      <xdr:colOff>190500</xdr:colOff>
      <xdr:row>4</xdr:row>
      <xdr:rowOff>69850</xdr:rowOff>
    </xdr:from>
    <xdr:to>
      <xdr:col>2</xdr:col>
      <xdr:colOff>514350</xdr:colOff>
      <xdr:row>6</xdr:row>
      <xdr:rowOff>12700</xdr:rowOff>
    </xdr:to>
    <xdr:sp macro="" textlink="">
      <xdr:nvSpPr>
        <xdr:cNvPr id="30" name="Rectangle: Rounded Corners 29">
          <a:extLst>
            <a:ext uri="{FF2B5EF4-FFF2-40B4-BE49-F238E27FC236}">
              <a16:creationId xmlns:a16="http://schemas.microsoft.com/office/drawing/2014/main" id="{123FAC6A-5E04-123C-A5B4-573E7A32A7F2}"/>
            </a:ext>
          </a:extLst>
        </xdr:cNvPr>
        <xdr:cNvSpPr/>
      </xdr:nvSpPr>
      <xdr:spPr>
        <a:xfrm>
          <a:off x="190500" y="806450"/>
          <a:ext cx="1543050" cy="31115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69850</xdr:colOff>
      <xdr:row>4</xdr:row>
      <xdr:rowOff>63500</xdr:rowOff>
    </xdr:from>
    <xdr:to>
      <xdr:col>5</xdr:col>
      <xdr:colOff>488950</xdr:colOff>
      <xdr:row>5</xdr:row>
      <xdr:rowOff>146050</xdr:rowOff>
    </xdr:to>
    <xdr:sp macro="" textlink="">
      <xdr:nvSpPr>
        <xdr:cNvPr id="33" name="Rectangle: Rounded Corners 32">
          <a:extLst>
            <a:ext uri="{FF2B5EF4-FFF2-40B4-BE49-F238E27FC236}">
              <a16:creationId xmlns:a16="http://schemas.microsoft.com/office/drawing/2014/main" id="{38C81586-BE5B-75FC-D5F3-D3CE55A97013}"/>
            </a:ext>
          </a:extLst>
        </xdr:cNvPr>
        <xdr:cNvSpPr/>
      </xdr:nvSpPr>
      <xdr:spPr>
        <a:xfrm>
          <a:off x="1898650" y="800100"/>
          <a:ext cx="1638300" cy="26670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6</xdr:col>
      <xdr:colOff>88900</xdr:colOff>
      <xdr:row>4</xdr:row>
      <xdr:rowOff>57150</xdr:rowOff>
    </xdr:from>
    <xdr:to>
      <xdr:col>9</xdr:col>
      <xdr:colOff>12700</xdr:colOff>
      <xdr:row>5</xdr:row>
      <xdr:rowOff>120650</xdr:rowOff>
    </xdr:to>
    <xdr:sp macro="" textlink="">
      <xdr:nvSpPr>
        <xdr:cNvPr id="34" name="Rectangle: Rounded Corners 33">
          <a:extLst>
            <a:ext uri="{FF2B5EF4-FFF2-40B4-BE49-F238E27FC236}">
              <a16:creationId xmlns:a16="http://schemas.microsoft.com/office/drawing/2014/main" id="{E490A3EC-6636-F5AC-C525-3BECF900A23F}"/>
            </a:ext>
          </a:extLst>
        </xdr:cNvPr>
        <xdr:cNvSpPr/>
      </xdr:nvSpPr>
      <xdr:spPr>
        <a:xfrm>
          <a:off x="3746500" y="793750"/>
          <a:ext cx="1752600" cy="247650"/>
        </a:xfrm>
        <a:prstGeom prst="roundRect">
          <a:avLst>
            <a:gd name="adj" fmla="val 32052"/>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9</xdr:col>
      <xdr:colOff>292100</xdr:colOff>
      <xdr:row>4</xdr:row>
      <xdr:rowOff>44450</xdr:rowOff>
    </xdr:from>
    <xdr:to>
      <xdr:col>12</xdr:col>
      <xdr:colOff>165100</xdr:colOff>
      <xdr:row>5</xdr:row>
      <xdr:rowOff>127000</xdr:rowOff>
    </xdr:to>
    <xdr:sp macro="" textlink="">
      <xdr:nvSpPr>
        <xdr:cNvPr id="35" name="Rectangle: Rounded Corners 34">
          <a:extLst>
            <a:ext uri="{FF2B5EF4-FFF2-40B4-BE49-F238E27FC236}">
              <a16:creationId xmlns:a16="http://schemas.microsoft.com/office/drawing/2014/main" id="{1A873D6D-D853-A487-6102-23BB0E20BEFD}"/>
            </a:ext>
          </a:extLst>
        </xdr:cNvPr>
        <xdr:cNvSpPr/>
      </xdr:nvSpPr>
      <xdr:spPr>
        <a:xfrm>
          <a:off x="5778500" y="781050"/>
          <a:ext cx="1701800" cy="266700"/>
        </a:xfrm>
        <a:prstGeom prst="roundRect">
          <a:avLst>
            <a:gd name="adj" fmla="val 33334"/>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406400</xdr:colOff>
      <xdr:row>4</xdr:row>
      <xdr:rowOff>44450</xdr:rowOff>
    </xdr:from>
    <xdr:to>
      <xdr:col>15</xdr:col>
      <xdr:colOff>82550</xdr:colOff>
      <xdr:row>5</xdr:row>
      <xdr:rowOff>139700</xdr:rowOff>
    </xdr:to>
    <xdr:sp macro="" textlink="">
      <xdr:nvSpPr>
        <xdr:cNvPr id="36" name="Rectangle: Rounded Corners 35">
          <a:extLst>
            <a:ext uri="{FF2B5EF4-FFF2-40B4-BE49-F238E27FC236}">
              <a16:creationId xmlns:a16="http://schemas.microsoft.com/office/drawing/2014/main" id="{D8A2D50E-4C84-7012-50B9-152648D5C577}"/>
            </a:ext>
          </a:extLst>
        </xdr:cNvPr>
        <xdr:cNvSpPr/>
      </xdr:nvSpPr>
      <xdr:spPr>
        <a:xfrm>
          <a:off x="7721600" y="781050"/>
          <a:ext cx="1504950" cy="279400"/>
        </a:xfrm>
        <a:prstGeom prst="roundRect">
          <a:avLst>
            <a:gd name="adj" fmla="val 32576"/>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184150</xdr:colOff>
      <xdr:row>4</xdr:row>
      <xdr:rowOff>101600</xdr:rowOff>
    </xdr:from>
    <xdr:to>
      <xdr:col>5</xdr:col>
      <xdr:colOff>374650</xdr:colOff>
      <xdr:row>5</xdr:row>
      <xdr:rowOff>107950</xdr:rowOff>
    </xdr:to>
    <xdr:sp macro="" textlink="">
      <xdr:nvSpPr>
        <xdr:cNvPr id="38" name="TextBox 37">
          <a:extLst>
            <a:ext uri="{FF2B5EF4-FFF2-40B4-BE49-F238E27FC236}">
              <a16:creationId xmlns:a16="http://schemas.microsoft.com/office/drawing/2014/main" id="{F0C9AB2F-3EEF-AEED-93FB-B871A1BABA14}"/>
            </a:ext>
          </a:extLst>
        </xdr:cNvPr>
        <xdr:cNvSpPr txBox="1"/>
      </xdr:nvSpPr>
      <xdr:spPr>
        <a:xfrm>
          <a:off x="2012950" y="838200"/>
          <a:ext cx="1409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40000"/>
                  <a:lumOff val="60000"/>
                </a:schemeClr>
              </a:solidFill>
            </a:rPr>
            <a:t>AVERAGE REVENUE</a:t>
          </a:r>
        </a:p>
      </xdr:txBody>
    </xdr:sp>
    <xdr:clientData/>
  </xdr:twoCellAnchor>
  <xdr:twoCellAnchor>
    <xdr:from>
      <xdr:col>0</xdr:col>
      <xdr:colOff>387350</xdr:colOff>
      <xdr:row>4</xdr:row>
      <xdr:rowOff>76200</xdr:rowOff>
    </xdr:from>
    <xdr:to>
      <xdr:col>2</xdr:col>
      <xdr:colOff>368300</xdr:colOff>
      <xdr:row>5</xdr:row>
      <xdr:rowOff>139700</xdr:rowOff>
    </xdr:to>
    <xdr:sp macro="" textlink="">
      <xdr:nvSpPr>
        <xdr:cNvPr id="39" name="TextBox 38">
          <a:extLst>
            <a:ext uri="{FF2B5EF4-FFF2-40B4-BE49-F238E27FC236}">
              <a16:creationId xmlns:a16="http://schemas.microsoft.com/office/drawing/2014/main" id="{EBD7D0C4-0F0D-4B5E-FDEF-B1873C646ECC}"/>
            </a:ext>
          </a:extLst>
        </xdr:cNvPr>
        <xdr:cNvSpPr txBox="1"/>
      </xdr:nvSpPr>
      <xdr:spPr>
        <a:xfrm>
          <a:off x="387350" y="812800"/>
          <a:ext cx="1200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20000"/>
                  <a:lumOff val="80000"/>
                </a:schemeClr>
              </a:solidFill>
            </a:rPr>
            <a:t>TOTAL</a:t>
          </a:r>
          <a:r>
            <a:rPr lang="en-US" sz="1100" b="1" baseline="0">
              <a:solidFill>
                <a:schemeClr val="accent1">
                  <a:lumMod val="20000"/>
                  <a:lumOff val="80000"/>
                </a:schemeClr>
              </a:solidFill>
            </a:rPr>
            <a:t> REVENUE </a:t>
          </a:r>
          <a:endParaRPr lang="en-US" sz="1100" b="1">
            <a:solidFill>
              <a:schemeClr val="accent1">
                <a:lumMod val="20000"/>
                <a:lumOff val="80000"/>
              </a:schemeClr>
            </a:solidFill>
          </a:endParaRPr>
        </a:p>
      </xdr:txBody>
    </xdr:sp>
    <xdr:clientData/>
  </xdr:twoCellAnchor>
  <xdr:twoCellAnchor>
    <xdr:from>
      <xdr:col>6</xdr:col>
      <xdr:colOff>254000</xdr:colOff>
      <xdr:row>4</xdr:row>
      <xdr:rowOff>76200</xdr:rowOff>
    </xdr:from>
    <xdr:to>
      <xdr:col>8</xdr:col>
      <xdr:colOff>400050</xdr:colOff>
      <xdr:row>5</xdr:row>
      <xdr:rowOff>76200</xdr:rowOff>
    </xdr:to>
    <xdr:sp macro="" textlink="">
      <xdr:nvSpPr>
        <xdr:cNvPr id="4" name="TextBox 3">
          <a:extLst>
            <a:ext uri="{FF2B5EF4-FFF2-40B4-BE49-F238E27FC236}">
              <a16:creationId xmlns:a16="http://schemas.microsoft.com/office/drawing/2014/main" id="{41AC3AFA-3CE7-0B54-8633-471888017E3F}"/>
            </a:ext>
          </a:extLst>
        </xdr:cNvPr>
        <xdr:cNvSpPr txBox="1"/>
      </xdr:nvSpPr>
      <xdr:spPr>
        <a:xfrm>
          <a:off x="3911600" y="812800"/>
          <a:ext cx="13652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40000"/>
                  <a:lumOff val="60000"/>
                </a:schemeClr>
              </a:solidFill>
            </a:rPr>
            <a:t>TOTAL UNITS SOLD </a:t>
          </a:r>
        </a:p>
      </xdr:txBody>
    </xdr:sp>
    <xdr:clientData/>
  </xdr:twoCellAnchor>
  <xdr:twoCellAnchor>
    <xdr:from>
      <xdr:col>9</xdr:col>
      <xdr:colOff>425450</xdr:colOff>
      <xdr:row>4</xdr:row>
      <xdr:rowOff>63500</xdr:rowOff>
    </xdr:from>
    <xdr:to>
      <xdr:col>12</xdr:col>
      <xdr:colOff>25400</xdr:colOff>
      <xdr:row>5</xdr:row>
      <xdr:rowOff>88900</xdr:rowOff>
    </xdr:to>
    <xdr:sp macro="" textlink="">
      <xdr:nvSpPr>
        <xdr:cNvPr id="5" name="TextBox 4">
          <a:extLst>
            <a:ext uri="{FF2B5EF4-FFF2-40B4-BE49-F238E27FC236}">
              <a16:creationId xmlns:a16="http://schemas.microsoft.com/office/drawing/2014/main" id="{DA17FDC6-3C2D-425E-3154-8EEEE90467C5}"/>
            </a:ext>
          </a:extLst>
        </xdr:cNvPr>
        <xdr:cNvSpPr txBox="1"/>
      </xdr:nvSpPr>
      <xdr:spPr>
        <a:xfrm>
          <a:off x="5911850" y="800100"/>
          <a:ext cx="1428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40000"/>
                  <a:lumOff val="60000"/>
                </a:schemeClr>
              </a:solidFill>
            </a:rPr>
            <a:t>TOTAL TRANSACTION</a:t>
          </a:r>
        </a:p>
      </xdr:txBody>
    </xdr:sp>
    <xdr:clientData/>
  </xdr:twoCellAnchor>
  <xdr:twoCellAnchor>
    <xdr:from>
      <xdr:col>12</xdr:col>
      <xdr:colOff>552450</xdr:colOff>
      <xdr:row>4</xdr:row>
      <xdr:rowOff>76200</xdr:rowOff>
    </xdr:from>
    <xdr:to>
      <xdr:col>14</xdr:col>
      <xdr:colOff>400050</xdr:colOff>
      <xdr:row>5</xdr:row>
      <xdr:rowOff>101600</xdr:rowOff>
    </xdr:to>
    <xdr:sp macro="" textlink="">
      <xdr:nvSpPr>
        <xdr:cNvPr id="11" name="TextBox 10">
          <a:extLst>
            <a:ext uri="{FF2B5EF4-FFF2-40B4-BE49-F238E27FC236}">
              <a16:creationId xmlns:a16="http://schemas.microsoft.com/office/drawing/2014/main" id="{62BCF1E7-290D-B3F3-24D2-23BE89E2C79E}"/>
            </a:ext>
          </a:extLst>
        </xdr:cNvPr>
        <xdr:cNvSpPr txBox="1"/>
      </xdr:nvSpPr>
      <xdr:spPr>
        <a:xfrm>
          <a:off x="7867650" y="812800"/>
          <a:ext cx="10668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40000"/>
                  <a:lumOff val="60000"/>
                </a:schemeClr>
              </a:solidFill>
            </a:rPr>
            <a:t>GROWTH RATE</a:t>
          </a:r>
        </a:p>
      </xdr:txBody>
    </xdr:sp>
    <xdr:clientData/>
  </xdr:twoCellAnchor>
  <xdr:twoCellAnchor>
    <xdr:from>
      <xdr:col>0</xdr:col>
      <xdr:colOff>355600</xdr:colOff>
      <xdr:row>6</xdr:row>
      <xdr:rowOff>88900</xdr:rowOff>
    </xdr:from>
    <xdr:to>
      <xdr:col>2</xdr:col>
      <xdr:colOff>298450</xdr:colOff>
      <xdr:row>8</xdr:row>
      <xdr:rowOff>12700</xdr:rowOff>
    </xdr:to>
    <xdr:sp macro="" textlink="KPI!A8">
      <xdr:nvSpPr>
        <xdr:cNvPr id="12" name="TextBox 11">
          <a:extLst>
            <a:ext uri="{FF2B5EF4-FFF2-40B4-BE49-F238E27FC236}">
              <a16:creationId xmlns:a16="http://schemas.microsoft.com/office/drawing/2014/main" id="{086951FE-E18D-80E0-37CD-AD81AD79E4AF}"/>
            </a:ext>
          </a:extLst>
        </xdr:cNvPr>
        <xdr:cNvSpPr txBox="1"/>
      </xdr:nvSpPr>
      <xdr:spPr>
        <a:xfrm>
          <a:off x="355600" y="1193800"/>
          <a:ext cx="11620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C39BA8-CDD5-455D-9C79-9DDA5D49BB3E}" type="TxLink">
            <a:rPr lang="en-US" sz="1600" b="1" i="0" u="none" strike="noStrike">
              <a:solidFill>
                <a:srgbClr val="000000"/>
              </a:solidFill>
              <a:latin typeface="Aptos Narrow"/>
            </a:rPr>
            <a:pPr/>
            <a:t>$14,477,336</a:t>
          </a:fld>
          <a:endParaRPr lang="en-US" sz="1600" b="1"/>
        </a:p>
      </xdr:txBody>
    </xdr:sp>
    <xdr:clientData/>
  </xdr:twoCellAnchor>
  <xdr:twoCellAnchor>
    <xdr:from>
      <xdr:col>3</xdr:col>
      <xdr:colOff>349250</xdr:colOff>
      <xdr:row>5</xdr:row>
      <xdr:rowOff>177800</xdr:rowOff>
    </xdr:from>
    <xdr:to>
      <xdr:col>5</xdr:col>
      <xdr:colOff>222250</xdr:colOff>
      <xdr:row>7</xdr:row>
      <xdr:rowOff>146050</xdr:rowOff>
    </xdr:to>
    <xdr:sp macro="" textlink="KPI!B8">
      <xdr:nvSpPr>
        <xdr:cNvPr id="13" name="TextBox 12">
          <a:extLst>
            <a:ext uri="{FF2B5EF4-FFF2-40B4-BE49-F238E27FC236}">
              <a16:creationId xmlns:a16="http://schemas.microsoft.com/office/drawing/2014/main" id="{4A7BA13A-87FF-824C-6DFB-FA40BD945836}"/>
            </a:ext>
          </a:extLst>
        </xdr:cNvPr>
        <xdr:cNvSpPr txBox="1"/>
      </xdr:nvSpPr>
      <xdr:spPr>
        <a:xfrm>
          <a:off x="2178050" y="1098550"/>
          <a:ext cx="10922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B2201B-17BF-43C7-9D6F-CE387C9B58F1}" type="TxLink">
            <a:rPr lang="en-US" sz="1800" b="1" i="0" u="none" strike="noStrike">
              <a:solidFill>
                <a:srgbClr val="000000"/>
              </a:solidFill>
              <a:latin typeface="Aptos Narrow"/>
            </a:rPr>
            <a:pPr/>
            <a:t>$41,364</a:t>
          </a:fld>
          <a:endParaRPr lang="en-US" sz="1800" b="1"/>
        </a:p>
      </xdr:txBody>
    </xdr:sp>
    <xdr:clientData/>
  </xdr:twoCellAnchor>
  <xdr:twoCellAnchor>
    <xdr:from>
      <xdr:col>6</xdr:col>
      <xdr:colOff>469900</xdr:colOff>
      <xdr:row>6</xdr:row>
      <xdr:rowOff>19050</xdr:rowOff>
    </xdr:from>
    <xdr:to>
      <xdr:col>8</xdr:col>
      <xdr:colOff>488950</xdr:colOff>
      <xdr:row>7</xdr:row>
      <xdr:rowOff>171450</xdr:rowOff>
    </xdr:to>
    <xdr:sp macro="" textlink="KPI!C8">
      <xdr:nvSpPr>
        <xdr:cNvPr id="18" name="TextBox 17">
          <a:extLst>
            <a:ext uri="{FF2B5EF4-FFF2-40B4-BE49-F238E27FC236}">
              <a16:creationId xmlns:a16="http://schemas.microsoft.com/office/drawing/2014/main" id="{AB37326C-2763-B595-F2BC-D4245474F7DB}"/>
            </a:ext>
          </a:extLst>
        </xdr:cNvPr>
        <xdr:cNvSpPr txBox="1"/>
      </xdr:nvSpPr>
      <xdr:spPr>
        <a:xfrm>
          <a:off x="4127500" y="1123950"/>
          <a:ext cx="12382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2CE3AF-7B6F-4847-B002-0C7FC047E338}" type="TxLink">
            <a:rPr lang="en-US" sz="1800" b="1" i="0" u="none" strike="noStrike">
              <a:solidFill>
                <a:srgbClr val="000000"/>
              </a:solidFill>
              <a:latin typeface="Aptos Narrow"/>
            </a:rPr>
            <a:pPr/>
            <a:t>286,883</a:t>
          </a:fld>
          <a:endParaRPr lang="en-US" sz="1800" b="1"/>
        </a:p>
      </xdr:txBody>
    </xdr:sp>
    <xdr:clientData/>
  </xdr:twoCellAnchor>
  <xdr:twoCellAnchor>
    <xdr:from>
      <xdr:col>9</xdr:col>
      <xdr:colOff>520700</xdr:colOff>
      <xdr:row>6</xdr:row>
      <xdr:rowOff>19050</xdr:rowOff>
    </xdr:from>
    <xdr:to>
      <xdr:col>11</xdr:col>
      <xdr:colOff>571500</xdr:colOff>
      <xdr:row>7</xdr:row>
      <xdr:rowOff>95250</xdr:rowOff>
    </xdr:to>
    <xdr:sp macro="" textlink="KPI!E8">
      <xdr:nvSpPr>
        <xdr:cNvPr id="28" name="TextBox 27">
          <a:extLst>
            <a:ext uri="{FF2B5EF4-FFF2-40B4-BE49-F238E27FC236}">
              <a16:creationId xmlns:a16="http://schemas.microsoft.com/office/drawing/2014/main" id="{D7346089-AC13-EFE6-8F02-D7FD2A5C3071}"/>
            </a:ext>
          </a:extLst>
        </xdr:cNvPr>
        <xdr:cNvSpPr txBox="1"/>
      </xdr:nvSpPr>
      <xdr:spPr>
        <a:xfrm>
          <a:off x="6007100" y="1123950"/>
          <a:ext cx="12700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3218DB-2784-4BC7-BB0F-D786A11EFB1D}" type="TxLink">
            <a:rPr lang="en-US" sz="1800" b="1" i="0" u="none" strike="noStrike">
              <a:solidFill>
                <a:srgbClr val="2F1312"/>
              </a:solidFill>
              <a:latin typeface="Aptos Narrow"/>
            </a:rPr>
            <a:pPr algn="ctr"/>
            <a:t>350</a:t>
          </a:fld>
          <a:endParaRPr lang="en-US" sz="1800" b="1">
            <a:solidFill>
              <a:srgbClr val="2F1312"/>
            </a:solidFill>
          </a:endParaRPr>
        </a:p>
      </xdr:txBody>
    </xdr:sp>
    <xdr:clientData/>
  </xdr:twoCellAnchor>
  <xdr:twoCellAnchor>
    <xdr:from>
      <xdr:col>13</xdr:col>
      <xdr:colOff>38100</xdr:colOff>
      <xdr:row>6</xdr:row>
      <xdr:rowOff>25400</xdr:rowOff>
    </xdr:from>
    <xdr:to>
      <xdr:col>14</xdr:col>
      <xdr:colOff>425450</xdr:colOff>
      <xdr:row>7</xdr:row>
      <xdr:rowOff>133350</xdr:rowOff>
    </xdr:to>
    <xdr:sp macro="" textlink="KPI!D8">
      <xdr:nvSpPr>
        <xdr:cNvPr id="31" name="TextBox 30">
          <a:extLst>
            <a:ext uri="{FF2B5EF4-FFF2-40B4-BE49-F238E27FC236}">
              <a16:creationId xmlns:a16="http://schemas.microsoft.com/office/drawing/2014/main" id="{61338F96-EAF9-029D-CAC4-934815F15695}"/>
            </a:ext>
          </a:extLst>
        </xdr:cNvPr>
        <xdr:cNvSpPr txBox="1"/>
      </xdr:nvSpPr>
      <xdr:spPr>
        <a:xfrm>
          <a:off x="7962900" y="1130300"/>
          <a:ext cx="9969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AB9A96-2DFE-43AE-858B-A8CDC9F31A2D}" type="TxLink">
            <a:rPr lang="en-US" sz="1800" b="1" i="0" u="none" strike="noStrike">
              <a:solidFill>
                <a:srgbClr val="2F1312"/>
              </a:solidFill>
              <a:latin typeface="Aptos Narrow"/>
            </a:rPr>
            <a:pPr algn="ctr"/>
            <a:t>79%</a:t>
          </a:fld>
          <a:endParaRPr lang="en-US" sz="1800" b="1">
            <a:solidFill>
              <a:srgbClr val="2F1312"/>
            </a:solidFill>
          </a:endParaRPr>
        </a:p>
      </xdr:txBody>
    </xdr:sp>
    <xdr:clientData/>
  </xdr:twoCellAnchor>
  <xdr:twoCellAnchor>
    <xdr:from>
      <xdr:col>0</xdr:col>
      <xdr:colOff>82550</xdr:colOff>
      <xdr:row>11</xdr:row>
      <xdr:rowOff>158750</xdr:rowOff>
    </xdr:from>
    <xdr:to>
      <xdr:col>5</xdr:col>
      <xdr:colOff>12700</xdr:colOff>
      <xdr:row>20</xdr:row>
      <xdr:rowOff>38100</xdr:rowOff>
    </xdr:to>
    <xdr:graphicFrame macro="">
      <xdr:nvGraphicFramePr>
        <xdr:cNvPr id="37" name="Chart 36">
          <a:extLst>
            <a:ext uri="{FF2B5EF4-FFF2-40B4-BE49-F238E27FC236}">
              <a16:creationId xmlns:a16="http://schemas.microsoft.com/office/drawing/2014/main" id="{431A3405-DCFC-4921-B139-6F552BF7A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158750</xdr:colOff>
      <xdr:row>22</xdr:row>
      <xdr:rowOff>158750</xdr:rowOff>
    </xdr:from>
    <xdr:to>
      <xdr:col>6</xdr:col>
      <xdr:colOff>114300</xdr:colOff>
      <xdr:row>33</xdr:row>
      <xdr:rowOff>0</xdr:rowOff>
    </xdr:to>
    <xdr:graphicFrame macro="">
      <xdr:nvGraphicFramePr>
        <xdr:cNvPr id="40" name="Chart 39">
          <a:extLst>
            <a:ext uri="{FF2B5EF4-FFF2-40B4-BE49-F238E27FC236}">
              <a16:creationId xmlns:a16="http://schemas.microsoft.com/office/drawing/2014/main" id="{29C0E10B-C564-4D88-A6C0-1F6B72E8D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247650</xdr:colOff>
      <xdr:row>21</xdr:row>
      <xdr:rowOff>57150</xdr:rowOff>
    </xdr:from>
    <xdr:to>
      <xdr:col>5</xdr:col>
      <xdr:colOff>603250</xdr:colOff>
      <xdr:row>22</xdr:row>
      <xdr:rowOff>165100</xdr:rowOff>
    </xdr:to>
    <xdr:sp macro="" textlink="">
      <xdr:nvSpPr>
        <xdr:cNvPr id="41" name="Rectangle: Rounded Corners 40">
          <a:extLst>
            <a:ext uri="{FF2B5EF4-FFF2-40B4-BE49-F238E27FC236}">
              <a16:creationId xmlns:a16="http://schemas.microsoft.com/office/drawing/2014/main" id="{0E37E788-696F-9C41-9796-D7FBF27DDF6A}"/>
            </a:ext>
          </a:extLst>
        </xdr:cNvPr>
        <xdr:cNvSpPr/>
      </xdr:nvSpPr>
      <xdr:spPr>
        <a:xfrm>
          <a:off x="247650" y="3924300"/>
          <a:ext cx="3403600" cy="29210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279400</xdr:colOff>
      <xdr:row>21</xdr:row>
      <xdr:rowOff>31750</xdr:rowOff>
    </xdr:from>
    <xdr:to>
      <xdr:col>4</xdr:col>
      <xdr:colOff>584200</xdr:colOff>
      <xdr:row>22</xdr:row>
      <xdr:rowOff>88900</xdr:rowOff>
    </xdr:to>
    <xdr:sp macro="" textlink="">
      <xdr:nvSpPr>
        <xdr:cNvPr id="42" name="TextBox 41">
          <a:extLst>
            <a:ext uri="{FF2B5EF4-FFF2-40B4-BE49-F238E27FC236}">
              <a16:creationId xmlns:a16="http://schemas.microsoft.com/office/drawing/2014/main" id="{05D1F1FD-766E-96C7-F844-7B122F90C9C5}"/>
            </a:ext>
          </a:extLst>
        </xdr:cNvPr>
        <xdr:cNvSpPr txBox="1"/>
      </xdr:nvSpPr>
      <xdr:spPr>
        <a:xfrm>
          <a:off x="889000" y="3898900"/>
          <a:ext cx="21336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20000"/>
                  <a:lumOff val="80000"/>
                </a:schemeClr>
              </a:solidFill>
            </a:rPr>
            <a:t>REVENUE BY RETAILER</a:t>
          </a:r>
        </a:p>
      </xdr:txBody>
    </xdr:sp>
    <xdr:clientData/>
  </xdr:twoCellAnchor>
  <xdr:twoCellAnchor>
    <xdr:from>
      <xdr:col>6</xdr:col>
      <xdr:colOff>234950</xdr:colOff>
      <xdr:row>24</xdr:row>
      <xdr:rowOff>63500</xdr:rowOff>
    </xdr:from>
    <xdr:to>
      <xdr:col>9</xdr:col>
      <xdr:colOff>330200</xdr:colOff>
      <xdr:row>31</xdr:row>
      <xdr:rowOff>127000</xdr:rowOff>
    </xdr:to>
    <xdr:graphicFrame macro="">
      <xdr:nvGraphicFramePr>
        <xdr:cNvPr id="43" name="Chart 42">
          <a:extLst>
            <a:ext uri="{FF2B5EF4-FFF2-40B4-BE49-F238E27FC236}">
              <a16:creationId xmlns:a16="http://schemas.microsoft.com/office/drawing/2014/main" id="{D2F994E5-A5AE-4B46-9FE3-9A6321745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292100</xdr:colOff>
      <xdr:row>21</xdr:row>
      <xdr:rowOff>177800</xdr:rowOff>
    </xdr:from>
    <xdr:to>
      <xdr:col>9</xdr:col>
      <xdr:colOff>596900</xdr:colOff>
      <xdr:row>23</xdr:row>
      <xdr:rowOff>152400</xdr:rowOff>
    </xdr:to>
    <xdr:sp macro="" textlink="">
      <xdr:nvSpPr>
        <xdr:cNvPr id="44" name="Rectangle: Rounded Corners 43">
          <a:extLst>
            <a:ext uri="{FF2B5EF4-FFF2-40B4-BE49-F238E27FC236}">
              <a16:creationId xmlns:a16="http://schemas.microsoft.com/office/drawing/2014/main" id="{4D44F759-B45B-3AED-F924-775DD6DD64AB}"/>
            </a:ext>
          </a:extLst>
        </xdr:cNvPr>
        <xdr:cNvSpPr/>
      </xdr:nvSpPr>
      <xdr:spPr>
        <a:xfrm>
          <a:off x="3949700" y="4044950"/>
          <a:ext cx="2133600" cy="34290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533400</xdr:colOff>
      <xdr:row>21</xdr:row>
      <xdr:rowOff>165100</xdr:rowOff>
    </xdr:from>
    <xdr:to>
      <xdr:col>10</xdr:col>
      <xdr:colOff>44450</xdr:colOff>
      <xdr:row>22</xdr:row>
      <xdr:rowOff>158750</xdr:rowOff>
    </xdr:to>
    <xdr:sp macro="" textlink="">
      <xdr:nvSpPr>
        <xdr:cNvPr id="45" name="TextBox 44">
          <a:extLst>
            <a:ext uri="{FF2B5EF4-FFF2-40B4-BE49-F238E27FC236}">
              <a16:creationId xmlns:a16="http://schemas.microsoft.com/office/drawing/2014/main" id="{B7106D2B-A5BC-A175-DFC5-857BA7D05EAA}"/>
            </a:ext>
          </a:extLst>
        </xdr:cNvPr>
        <xdr:cNvSpPr txBox="1"/>
      </xdr:nvSpPr>
      <xdr:spPr>
        <a:xfrm>
          <a:off x="4191000" y="4032250"/>
          <a:ext cx="194945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20000"/>
                  <a:lumOff val="80000"/>
                </a:schemeClr>
              </a:solidFill>
            </a:rPr>
            <a:t>REVENUE BY SALES METHOD</a:t>
          </a:r>
        </a:p>
      </xdr:txBody>
    </xdr:sp>
    <xdr:clientData/>
  </xdr:twoCellAnchor>
  <xdr:twoCellAnchor>
    <xdr:from>
      <xdr:col>6</xdr:col>
      <xdr:colOff>393700</xdr:colOff>
      <xdr:row>9</xdr:row>
      <xdr:rowOff>107950</xdr:rowOff>
    </xdr:from>
    <xdr:to>
      <xdr:col>9</xdr:col>
      <xdr:colOff>514350</xdr:colOff>
      <xdr:row>10</xdr:row>
      <xdr:rowOff>158750</xdr:rowOff>
    </xdr:to>
    <xdr:sp macro="" textlink="">
      <xdr:nvSpPr>
        <xdr:cNvPr id="32" name="TextBox 31">
          <a:extLst>
            <a:ext uri="{FF2B5EF4-FFF2-40B4-BE49-F238E27FC236}">
              <a16:creationId xmlns:a16="http://schemas.microsoft.com/office/drawing/2014/main" id="{762215DE-4F2B-0DFD-E225-3DABCA246C53}"/>
            </a:ext>
          </a:extLst>
        </xdr:cNvPr>
        <xdr:cNvSpPr txBox="1"/>
      </xdr:nvSpPr>
      <xdr:spPr>
        <a:xfrm>
          <a:off x="4051300" y="1765300"/>
          <a:ext cx="19494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40000"/>
                  <a:lumOff val="60000"/>
                </a:schemeClr>
              </a:solidFill>
            </a:rPr>
            <a:t>REVENUE BY YEAR BY REGION</a:t>
          </a:r>
        </a:p>
      </xdr:txBody>
    </xdr:sp>
    <xdr:clientData/>
  </xdr:twoCellAnchor>
  <xdr:twoCellAnchor>
    <xdr:from>
      <xdr:col>10</xdr:col>
      <xdr:colOff>590550</xdr:colOff>
      <xdr:row>24</xdr:row>
      <xdr:rowOff>57150</xdr:rowOff>
    </xdr:from>
    <xdr:to>
      <xdr:col>13</xdr:col>
      <xdr:colOff>228600</xdr:colOff>
      <xdr:row>31</xdr:row>
      <xdr:rowOff>88900</xdr:rowOff>
    </xdr:to>
    <xdr:graphicFrame macro="">
      <xdr:nvGraphicFramePr>
        <xdr:cNvPr id="47" name="Chart 46">
          <a:extLst>
            <a:ext uri="{FF2B5EF4-FFF2-40B4-BE49-F238E27FC236}">
              <a16:creationId xmlns:a16="http://schemas.microsoft.com/office/drawing/2014/main" id="{9511A42E-AFC8-4F54-91A2-0CCA472AE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88900</xdr:colOff>
      <xdr:row>24</xdr:row>
      <xdr:rowOff>12700</xdr:rowOff>
    </xdr:from>
    <xdr:to>
      <xdr:col>15</xdr:col>
      <xdr:colOff>215900</xdr:colOff>
      <xdr:row>31</xdr:row>
      <xdr:rowOff>25400</xdr:rowOff>
    </xdr:to>
    <xdr:graphicFrame macro="">
      <xdr:nvGraphicFramePr>
        <xdr:cNvPr id="48" name="Chart 47">
          <a:extLst>
            <a:ext uri="{FF2B5EF4-FFF2-40B4-BE49-F238E27FC236}">
              <a16:creationId xmlns:a16="http://schemas.microsoft.com/office/drawing/2014/main" id="{54AF8E55-F4F0-49F2-9988-4DCA221C7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215900</xdr:colOff>
      <xdr:row>21</xdr:row>
      <xdr:rowOff>139700</xdr:rowOff>
    </xdr:from>
    <xdr:to>
      <xdr:col>15</xdr:col>
      <xdr:colOff>266700</xdr:colOff>
      <xdr:row>23</xdr:row>
      <xdr:rowOff>69850</xdr:rowOff>
    </xdr:to>
    <xdr:sp macro="" textlink="">
      <xdr:nvSpPr>
        <xdr:cNvPr id="49" name="Rectangle: Rounded Corners 48">
          <a:extLst>
            <a:ext uri="{FF2B5EF4-FFF2-40B4-BE49-F238E27FC236}">
              <a16:creationId xmlns:a16="http://schemas.microsoft.com/office/drawing/2014/main" id="{34712736-6F65-CE68-6FFF-03024819D8C2}"/>
            </a:ext>
          </a:extLst>
        </xdr:cNvPr>
        <xdr:cNvSpPr/>
      </xdr:nvSpPr>
      <xdr:spPr>
        <a:xfrm>
          <a:off x="6311900" y="4006850"/>
          <a:ext cx="3098800" cy="29845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209550</xdr:colOff>
      <xdr:row>21</xdr:row>
      <xdr:rowOff>139700</xdr:rowOff>
    </xdr:from>
    <xdr:to>
      <xdr:col>14</xdr:col>
      <xdr:colOff>374650</xdr:colOff>
      <xdr:row>23</xdr:row>
      <xdr:rowOff>6350</xdr:rowOff>
    </xdr:to>
    <xdr:sp macro="" textlink="">
      <xdr:nvSpPr>
        <xdr:cNvPr id="50" name="TextBox 49">
          <a:extLst>
            <a:ext uri="{FF2B5EF4-FFF2-40B4-BE49-F238E27FC236}">
              <a16:creationId xmlns:a16="http://schemas.microsoft.com/office/drawing/2014/main" id="{8350175A-67E4-EE5D-29E2-97ABEA37D79D}"/>
            </a:ext>
          </a:extLst>
        </xdr:cNvPr>
        <xdr:cNvSpPr txBox="1"/>
      </xdr:nvSpPr>
      <xdr:spPr>
        <a:xfrm>
          <a:off x="6915150" y="4006850"/>
          <a:ext cx="19939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40000"/>
                  <a:lumOff val="60000"/>
                </a:schemeClr>
              </a:solidFill>
            </a:rPr>
            <a:t>REVENUE BY YEAR BY MONTH</a:t>
          </a:r>
        </a:p>
      </xdr:txBody>
    </xdr:sp>
    <xdr:clientData/>
  </xdr:twoCellAnchor>
  <xdr:twoCellAnchor>
    <xdr:from>
      <xdr:col>11</xdr:col>
      <xdr:colOff>133350</xdr:colOff>
      <xdr:row>11</xdr:row>
      <xdr:rowOff>177800</xdr:rowOff>
    </xdr:from>
    <xdr:to>
      <xdr:col>13</xdr:col>
      <xdr:colOff>254000</xdr:colOff>
      <xdr:row>20</xdr:row>
      <xdr:rowOff>6350</xdr:rowOff>
    </xdr:to>
    <xdr:graphicFrame macro="">
      <xdr:nvGraphicFramePr>
        <xdr:cNvPr id="56" name="Chart 55">
          <a:extLst>
            <a:ext uri="{FF2B5EF4-FFF2-40B4-BE49-F238E27FC236}">
              <a16:creationId xmlns:a16="http://schemas.microsoft.com/office/drawing/2014/main" id="{FF220179-CA43-416C-8EC4-780072F4F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215900</xdr:colOff>
      <xdr:row>11</xdr:row>
      <xdr:rowOff>152400</xdr:rowOff>
    </xdr:from>
    <xdr:to>
      <xdr:col>15</xdr:col>
      <xdr:colOff>330200</xdr:colOff>
      <xdr:row>20</xdr:row>
      <xdr:rowOff>133350</xdr:rowOff>
    </xdr:to>
    <xdr:graphicFrame macro="">
      <xdr:nvGraphicFramePr>
        <xdr:cNvPr id="57" name="Chart 56">
          <a:extLst>
            <a:ext uri="{FF2B5EF4-FFF2-40B4-BE49-F238E27FC236}">
              <a16:creationId xmlns:a16="http://schemas.microsoft.com/office/drawing/2014/main" id="{9FF40A27-7349-42D8-812C-31A3032EF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139700</xdr:colOff>
      <xdr:row>23</xdr:row>
      <xdr:rowOff>120650</xdr:rowOff>
    </xdr:from>
    <xdr:to>
      <xdr:col>15</xdr:col>
      <xdr:colOff>336550</xdr:colOff>
      <xdr:row>32</xdr:row>
      <xdr:rowOff>107950</xdr:rowOff>
    </xdr:to>
    <xdr:graphicFrame macro="">
      <xdr:nvGraphicFramePr>
        <xdr:cNvPr id="58" name="Chart 57">
          <a:extLst>
            <a:ext uri="{FF2B5EF4-FFF2-40B4-BE49-F238E27FC236}">
              <a16:creationId xmlns:a16="http://schemas.microsoft.com/office/drawing/2014/main" id="{9714FBBF-4277-4F7F-BE6F-E64CE7B06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285750</xdr:colOff>
      <xdr:row>11</xdr:row>
      <xdr:rowOff>25400</xdr:rowOff>
    </xdr:from>
    <xdr:to>
      <xdr:col>11</xdr:col>
      <xdr:colOff>44450</xdr:colOff>
      <xdr:row>23</xdr:row>
      <xdr:rowOff>95250</xdr:rowOff>
    </xdr:to>
    <xdr:graphicFrame macro="">
      <xdr:nvGraphicFramePr>
        <xdr:cNvPr id="46" name="Chart 45">
          <a:extLst>
            <a:ext uri="{FF2B5EF4-FFF2-40B4-BE49-F238E27FC236}">
              <a16:creationId xmlns:a16="http://schemas.microsoft.com/office/drawing/2014/main" id="{947BE492-EA3F-438A-A6EF-779B3D06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584200</xdr:colOff>
      <xdr:row>21</xdr:row>
      <xdr:rowOff>104778</xdr:rowOff>
    </xdr:from>
    <xdr:to>
      <xdr:col>19</xdr:col>
      <xdr:colOff>425450</xdr:colOff>
      <xdr:row>32</xdr:row>
      <xdr:rowOff>69850</xdr:rowOff>
    </xdr:to>
    <mc:AlternateContent xmlns:mc="http://schemas.openxmlformats.org/markup-compatibility/2006" xmlns:a14="http://schemas.microsoft.com/office/drawing/2010/main">
      <mc:Choice Requires="a14">
        <xdr:graphicFrame macro="">
          <xdr:nvGraphicFramePr>
            <xdr:cNvPr id="52" name="Product">
              <a:extLst>
                <a:ext uri="{FF2B5EF4-FFF2-40B4-BE49-F238E27FC236}">
                  <a16:creationId xmlns:a16="http://schemas.microsoft.com/office/drawing/2014/main" id="{1A0B6F90-872E-C071-A2A9-2943BC93BBE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728200" y="3971928"/>
              <a:ext cx="2279650" cy="1990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5</xdr:row>
      <xdr:rowOff>38100</xdr:rowOff>
    </xdr:from>
    <xdr:to>
      <xdr:col>19</xdr:col>
      <xdr:colOff>571500</xdr:colOff>
      <xdr:row>15</xdr:row>
      <xdr:rowOff>57150</xdr:rowOff>
    </xdr:to>
    <mc:AlternateContent xmlns:mc="http://schemas.openxmlformats.org/markup-compatibility/2006" xmlns:a14="http://schemas.microsoft.com/office/drawing/2010/main">
      <mc:Choice Requires="a14">
        <xdr:graphicFrame macro="">
          <xdr:nvGraphicFramePr>
            <xdr:cNvPr id="53" name="Retailer">
              <a:extLst>
                <a:ext uri="{FF2B5EF4-FFF2-40B4-BE49-F238E27FC236}">
                  <a16:creationId xmlns:a16="http://schemas.microsoft.com/office/drawing/2014/main" id="{96B6269B-2CCD-26D9-5B13-D75852730A7C}"/>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0477500" y="958850"/>
              <a:ext cx="1676400" cy="186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450850</xdr:colOff>
      <xdr:row>15</xdr:row>
      <xdr:rowOff>158750</xdr:rowOff>
    </xdr:from>
    <xdr:to>
      <xdr:col>19</xdr:col>
      <xdr:colOff>552450</xdr:colOff>
      <xdr:row>21</xdr:row>
      <xdr:rowOff>63500</xdr:rowOff>
    </xdr:to>
    <mc:AlternateContent xmlns:mc="http://schemas.openxmlformats.org/markup-compatibility/2006" xmlns:a14="http://schemas.microsoft.com/office/drawing/2010/main">
      <mc:Choice Requires="a14">
        <xdr:graphicFrame macro="">
          <xdr:nvGraphicFramePr>
            <xdr:cNvPr id="54" name="Sales Method">
              <a:extLst>
                <a:ext uri="{FF2B5EF4-FFF2-40B4-BE49-F238E27FC236}">
                  <a16:creationId xmlns:a16="http://schemas.microsoft.com/office/drawing/2014/main" id="{16CB67D0-8B35-31F9-D915-97C759BDA747}"/>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9594850" y="2921000"/>
              <a:ext cx="25400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463550</xdr:colOff>
      <xdr:row>5</xdr:row>
      <xdr:rowOff>38100</xdr:rowOff>
    </xdr:from>
    <xdr:to>
      <xdr:col>17</xdr:col>
      <xdr:colOff>139700</xdr:colOff>
      <xdr:row>15</xdr:row>
      <xdr:rowOff>44450</xdr:rowOff>
    </xdr:to>
    <mc:AlternateContent xmlns:mc="http://schemas.openxmlformats.org/markup-compatibility/2006" xmlns:a14="http://schemas.microsoft.com/office/drawing/2010/main">
      <mc:Choice Requires="a14">
        <xdr:graphicFrame macro="">
          <xdr:nvGraphicFramePr>
            <xdr:cNvPr id="55" name="Region 1">
              <a:extLst>
                <a:ext uri="{FF2B5EF4-FFF2-40B4-BE49-F238E27FC236}">
                  <a16:creationId xmlns:a16="http://schemas.microsoft.com/office/drawing/2014/main" id="{A6D9F9F8-30DD-48AD-92C4-A9F732950B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69450" y="965200"/>
              <a:ext cx="933450" cy="184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berechi Enyinnaya" refreshedDate="45536.868681481479" backgroundQuery="1" createdVersion="8" refreshedVersion="8" minRefreshableVersion="3" recordCount="0" supportSubquery="1" supportAdvancedDrill="1" xr:uid="{2B75165A-4BDD-4576-BB27-1712931F9A12}">
  <cacheSource type="external" connectionId="4"/>
  <cacheFields count="5">
    <cacheField name="[Measures].[Sum of Revenue]" caption="Sum of Revenue" numFmtId="0" hierarchy="27" level="32767"/>
    <cacheField name="[Measures].[Average of Revenue]" caption="Average of Revenue" numFmtId="0" hierarchy="28" level="32767"/>
    <cacheField name="[Measures].[Sum of Units Sold]" caption="Sum of Units Sold" numFmtId="0" hierarchy="29" level="32767"/>
    <cacheField name="[Measures].[YOY Growth Rate]" caption="YOY Growth Rate" numFmtId="0" hierarchy="21" level="32767"/>
    <cacheField name="[Measures].[Count of Retailer ID]" caption="Count of Retailer ID" numFmtId="0" hierarchy="30" level="32767"/>
  </cacheFields>
  <cacheHierarchies count="3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Retailer ID]" caption="Retailer ID" attribute="1" defaultMemberUniqueName="[Sheet1].[Retailer ID].[All]" allUniqueName="[Sheet1].[Retailer ID].[All]" dimensionUniqueName="[Sheet1]" displayFolder="" count="0" memberValueDatatype="130" unbalanced="0"/>
    <cacheHierarchy uniqueName="[Sheet1].[Retailer]" caption="Retailer" attribute="1" defaultMemberUniqueName="[Sheet1].[Retailer].[All]" allUniqueName="[Sheet1].[Retailer].[All]" dimensionUniqueName="[Sheet1]" displayFolder="" count="0" memberValueDatatype="130" unbalanced="0"/>
    <cacheHierarchy uniqueName="[Sheet1].[Invoice Date]" caption="Invoice Date" attribute="1" time="1" defaultMemberUniqueName="[Sheet1].[Invoice Date].[All]" allUniqueName="[Sheet1].[Invoice Date].[All]" dimensionUniqueName="[Sheet1]" displayFolder="" count="0" memberValueDatatype="7" unbalanced="0"/>
    <cacheHierarchy uniqueName="[Sheet1].[Region]" caption="Region" attribute="1" defaultMemberUniqueName="[Sheet1].[Region].[All]" allUniqueName="[Sheet1].[Region].[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Price per Unit]" caption="Price per Unit" attribute="1" defaultMemberUniqueName="[Sheet1].[Price per Unit].[All]" allUniqueName="[Sheet1].[Price per Unit].[All]" dimensionUniqueName="[Sheet1]" displayFolder="" count="0" memberValueDatatype="5" unbalanced="0"/>
    <cacheHierarchy uniqueName="[Sheet1].[Units Sold]" caption="Units Sold" attribute="1" defaultMemberUniqueName="[Sheet1].[Units Sold].[All]" allUniqueName="[Sheet1].[Units Sold].[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Sales Method]" caption="Sales Method" attribute="1" defaultMemberUniqueName="[Sheet1].[Sales Method].[All]" allUniqueName="[Sheet1].[Sales Method].[All]" dimensionUniqueName="[Sheet1]" displayFolder="" count="0" memberValueDatatype="130" unbalanced="0"/>
    <cacheHierarchy uniqueName="[Measures].[Remove Filter From Sales Method]" caption="Remove Filter From Sales Method" measure="1" displayFolder="" measureGroup="Sheet1" count="0"/>
    <cacheHierarchy uniqueName="[Measures].[Percentage of Sales Method]" caption="Percentage of Sales Method" measure="1" displayFolder="" measureGroup="Sheet1" count="0"/>
    <cacheHierarchy uniqueName="[Measures].[CY Revenue ]" caption="CY Revenue " measure="1" displayFolder="" measureGroup="Sheet1" count="0"/>
    <cacheHierarchy uniqueName="[Measures].[PY Revenue]" caption="PY Revenue" measure="1" displayFolder="" measureGroup="Sheet1" count="0"/>
    <cacheHierarchy uniqueName="[Measures].[YOY Growth Rate]" caption="YOY Growth Rate" measure="1" displayFolder="" measureGroup="Sheet1" count="0" oneField="1">
      <fieldsUsage count="1">
        <fieldUsage x="3"/>
      </fieldsUsage>
    </cacheHierarchy>
    <cacheHierarchy uniqueName="[Measures].[Remove FIlter From Year]" caption="Remove FIlter From Year" measure="1" displayFolder="" measureGroup="Sheet1" count="0"/>
    <cacheHierarchy uniqueName="[Measures].[Percentage of Year Revenue]" caption="Percentage of Year Revenue"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Sheet1"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Sheet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heet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Retailer ID]" caption="Count of Retailer ID" measure="1" displayFolder="" measureGroup="Sheet1" count="0" oneField="1" hidden="1">
      <fieldsUsage count="1">
        <fieldUsage x="4"/>
      </fieldsUsage>
      <extLst>
        <ext xmlns:x15="http://schemas.microsoft.com/office/spreadsheetml/2010/11/main" uri="{B97F6D7D-B522-45F9-BDA1-12C45D357490}">
          <x15:cacheHierarchy aggregatedColumn="6"/>
        </ext>
      </extLst>
    </cacheHierarchy>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berechi Enyinnaya" refreshedDate="45536.86868240741" backgroundQuery="1" createdVersion="8" refreshedVersion="8" minRefreshableVersion="3" recordCount="0" supportSubquery="1" supportAdvancedDrill="1" xr:uid="{56DBB0B5-F4B6-4DA3-A88D-7204DBAC5FE7}">
  <cacheSource type="external" connectionId="4"/>
  <cacheFields count="3">
    <cacheField name="[Measures].[Sum of Revenue]" caption="Sum of Revenue" numFmtId="0" hierarchy="27" level="32767"/>
    <cacheField name="[Calendar].[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alendar].[Year].&amp;[2022]"/>
            <x15:cachedUniqueName index="1" name="[Calendar].[Year].&amp;[2023]"/>
          </x15:cachedUniqueNames>
        </ext>
      </extLst>
    </cacheField>
    <cacheField name="[Measures].[Percentage of Year Revenue]" caption="Percentage of Year Revenue" numFmtId="0" hierarchy="23" level="32767"/>
  </cacheFields>
  <cacheHierarchies count="3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Retailer ID]" caption="Retailer ID" attribute="1" defaultMemberUniqueName="[Sheet1].[Retailer ID].[All]" allUniqueName="[Sheet1].[Retailer ID].[All]" dimensionUniqueName="[Sheet1]" displayFolder="" count="0" memberValueDatatype="130" unbalanced="0"/>
    <cacheHierarchy uniqueName="[Sheet1].[Retailer]" caption="Retailer" attribute="1" defaultMemberUniqueName="[Sheet1].[Retailer].[All]" allUniqueName="[Sheet1].[Retailer].[All]" dimensionUniqueName="[Sheet1]" displayFolder="" count="0" memberValueDatatype="130" unbalanced="0"/>
    <cacheHierarchy uniqueName="[Sheet1].[Invoice Date]" caption="Invoice Date" attribute="1" time="1" defaultMemberUniqueName="[Sheet1].[Invoice Date].[All]" allUniqueName="[Sheet1].[Invoice Date].[All]" dimensionUniqueName="[Sheet1]" displayFolder="" count="0" memberValueDatatype="7" unbalanced="0"/>
    <cacheHierarchy uniqueName="[Sheet1].[Region]" caption="Region" attribute="1" defaultMemberUniqueName="[Sheet1].[Region].[All]" allUniqueName="[Sheet1].[Region].[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Price per Unit]" caption="Price per Unit" attribute="1" defaultMemberUniqueName="[Sheet1].[Price per Unit].[All]" allUniqueName="[Sheet1].[Price per Unit].[All]" dimensionUniqueName="[Sheet1]" displayFolder="" count="0" memberValueDatatype="5" unbalanced="0"/>
    <cacheHierarchy uniqueName="[Sheet1].[Units Sold]" caption="Units Sold" attribute="1" defaultMemberUniqueName="[Sheet1].[Units Sold].[All]" allUniqueName="[Sheet1].[Units Sold].[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Sales Method]" caption="Sales Method" attribute="1" defaultMemberUniqueName="[Sheet1].[Sales Method].[All]" allUniqueName="[Sheet1].[Sales Method].[All]" dimensionUniqueName="[Sheet1]" displayFolder="" count="0" memberValueDatatype="130" unbalanced="0"/>
    <cacheHierarchy uniqueName="[Measures].[Remove Filter From Sales Method]" caption="Remove Filter From Sales Method" measure="1" displayFolder="" measureGroup="Sheet1" count="0"/>
    <cacheHierarchy uniqueName="[Measures].[Percentage of Sales Method]" caption="Percentage of Sales Method" measure="1" displayFolder="" measureGroup="Sheet1" count="0"/>
    <cacheHierarchy uniqueName="[Measures].[CY Revenue ]" caption="CY Revenue " measure="1" displayFolder="" measureGroup="Sheet1" count="0"/>
    <cacheHierarchy uniqueName="[Measures].[PY Revenue]" caption="PY Revenue" measure="1" displayFolder="" measureGroup="Sheet1" count="0"/>
    <cacheHierarchy uniqueName="[Measures].[YOY Growth Rate]" caption="YOY Growth Rate" measure="1" displayFolder="" measureGroup="Sheet1" count="0"/>
    <cacheHierarchy uniqueName="[Measures].[Remove FIlter From Year]" caption="Remove FIlter From Year" measure="1" displayFolder="" measureGroup="Sheet1" count="0"/>
    <cacheHierarchy uniqueName="[Measures].[Percentage of Year Revenue]" caption="Percentage of Year Revenue" measure="1" displayFolder="" measureGroup="Sheet1" count="0" oneField="1">
      <fieldsUsage count="1">
        <fieldUsage x="2"/>
      </fieldsUsage>
    </cacheHierarchy>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Sheet1"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Sheet1"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heet1" count="0" hidden="1">
      <extLst>
        <ext xmlns:x15="http://schemas.microsoft.com/office/spreadsheetml/2010/11/main" uri="{B97F6D7D-B522-45F9-BDA1-12C45D357490}">
          <x15:cacheHierarchy aggregatedColumn="14"/>
        </ext>
      </extLst>
    </cacheHierarchy>
    <cacheHierarchy uniqueName="[Measures].[Count of Retailer ID]" caption="Count of Retailer ID" measure="1" displayFolder="" measureGroup="Sheet1" count="0" hidden="1">
      <extLst>
        <ext xmlns:x15="http://schemas.microsoft.com/office/spreadsheetml/2010/11/main" uri="{B97F6D7D-B522-45F9-BDA1-12C45D357490}">
          <x15:cacheHierarchy aggregatedColumn="6"/>
        </ext>
      </extLst>
    </cacheHierarchy>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berechi Enyinnaya" refreshedDate="45536.868683333334" backgroundQuery="1" createdVersion="8" refreshedVersion="8" minRefreshableVersion="3" recordCount="0" supportSubquery="1" supportAdvancedDrill="1" xr:uid="{AB593118-15DB-466F-A2A9-21C4881CD4AD}">
  <cacheSource type="external" connectionId="4"/>
  <cacheFields count="3">
    <cacheField name="[Measures].[Sum of Revenue]" caption="Sum of Revenue" numFmtId="0" hierarchy="27" level="32767"/>
    <cacheField name="[Calendar].[Month].[Month]" caption="Month" numFmtId="0" hierarchy="3" level="1">
      <sharedItems count="12">
        <s v="Jan"/>
        <s v="Feb"/>
        <s v="Mar"/>
        <s v="Apr"/>
        <s v="May"/>
        <s v="Jun"/>
        <s v="Jul"/>
        <s v="Aug"/>
        <s v="Sep"/>
        <s v="Oct"/>
        <s v="Nov"/>
        <s v="Dec"/>
      </sharedItems>
    </cacheField>
    <cacheField name="[Calendar].[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alendar].[Year].&amp;[2022]"/>
            <x15:cachedUniqueName index="1" name="[Calendar].[Year].&amp;[2023]"/>
          </x15:cachedUniqueNames>
        </ext>
      </extLst>
    </cacheField>
  </cacheFields>
  <cacheHierarchies count="3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Retailer ID]" caption="Retailer ID" attribute="1" defaultMemberUniqueName="[Sheet1].[Retailer ID].[All]" allUniqueName="[Sheet1].[Retailer ID].[All]" dimensionUniqueName="[Sheet1]" displayFolder="" count="0" memberValueDatatype="130" unbalanced="0"/>
    <cacheHierarchy uniqueName="[Sheet1].[Retailer]" caption="Retailer" attribute="1" defaultMemberUniqueName="[Sheet1].[Retailer].[All]" allUniqueName="[Sheet1].[Retailer].[All]" dimensionUniqueName="[Sheet1]" displayFolder="" count="0" memberValueDatatype="130" unbalanced="0"/>
    <cacheHierarchy uniqueName="[Sheet1].[Invoice Date]" caption="Invoice Date" attribute="1" time="1" defaultMemberUniqueName="[Sheet1].[Invoice Date].[All]" allUniqueName="[Sheet1].[Invoice Date].[All]" dimensionUniqueName="[Sheet1]" displayFolder="" count="0" memberValueDatatype="7" unbalanced="0"/>
    <cacheHierarchy uniqueName="[Sheet1].[Region]" caption="Region" attribute="1" defaultMemberUniqueName="[Sheet1].[Region].[All]" allUniqueName="[Sheet1].[Region].[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Price per Unit]" caption="Price per Unit" attribute="1" defaultMemberUniqueName="[Sheet1].[Price per Unit].[All]" allUniqueName="[Sheet1].[Price per Unit].[All]" dimensionUniqueName="[Sheet1]" displayFolder="" count="0" memberValueDatatype="5" unbalanced="0"/>
    <cacheHierarchy uniqueName="[Sheet1].[Units Sold]" caption="Units Sold" attribute="1" defaultMemberUniqueName="[Sheet1].[Units Sold].[All]" allUniqueName="[Sheet1].[Units Sold].[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Sales Method]" caption="Sales Method" attribute="1" defaultMemberUniqueName="[Sheet1].[Sales Method].[All]" allUniqueName="[Sheet1].[Sales Method].[All]" dimensionUniqueName="[Sheet1]" displayFolder="" count="0" memberValueDatatype="130" unbalanced="0"/>
    <cacheHierarchy uniqueName="[Measures].[Remove Filter From Sales Method]" caption="Remove Filter From Sales Method" measure="1" displayFolder="" measureGroup="Sheet1" count="0"/>
    <cacheHierarchy uniqueName="[Measures].[Percentage of Sales Method]" caption="Percentage of Sales Method" measure="1" displayFolder="" measureGroup="Sheet1" count="0"/>
    <cacheHierarchy uniqueName="[Measures].[CY Revenue ]" caption="CY Revenue " measure="1" displayFolder="" measureGroup="Sheet1" count="0"/>
    <cacheHierarchy uniqueName="[Measures].[PY Revenue]" caption="PY Revenue" measure="1" displayFolder="" measureGroup="Sheet1" count="0"/>
    <cacheHierarchy uniqueName="[Measures].[YOY Growth Rate]" caption="YOY Growth Rate" measure="1" displayFolder="" measureGroup="Sheet1" count="0"/>
    <cacheHierarchy uniqueName="[Measures].[Remove FIlter From Year]" caption="Remove FIlter From Year" measure="1" displayFolder="" measureGroup="Sheet1" count="0"/>
    <cacheHierarchy uniqueName="[Measures].[Percentage of Year Revenue]" caption="Percentage of Year Revenue"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Sheet1"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Sheet1"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heet1" count="0" hidden="1">
      <extLst>
        <ext xmlns:x15="http://schemas.microsoft.com/office/spreadsheetml/2010/11/main" uri="{B97F6D7D-B522-45F9-BDA1-12C45D357490}">
          <x15:cacheHierarchy aggregatedColumn="14"/>
        </ext>
      </extLst>
    </cacheHierarchy>
    <cacheHierarchy uniqueName="[Measures].[Count of Retailer ID]" caption="Count of Retailer ID" measure="1" displayFolder="" measureGroup="Sheet1" count="0" hidden="1">
      <extLst>
        <ext xmlns:x15="http://schemas.microsoft.com/office/spreadsheetml/2010/11/main" uri="{B97F6D7D-B522-45F9-BDA1-12C45D357490}">
          <x15:cacheHierarchy aggregatedColumn="6"/>
        </ext>
      </extLst>
    </cacheHierarchy>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berechi Enyinnaya" refreshedDate="45536.868685069443" backgroundQuery="1" createdVersion="8" refreshedVersion="8" minRefreshableVersion="3" recordCount="0" supportSubquery="1" supportAdvancedDrill="1" xr:uid="{C6201EB0-68F1-4E0D-B9A3-6EAB201AD1E7}">
  <cacheSource type="external" connectionId="4"/>
  <cacheFields count="2">
    <cacheField name="[Measures].[Sum of Revenue]" caption="Sum of Revenue" numFmtId="0" hierarchy="27" level="32767"/>
    <cacheField name="[Sheet1].[Sales Method].[Sales Method]" caption="Sales Method" numFmtId="0" hierarchy="16" level="1">
      <sharedItems count="3">
        <s v="Instore"/>
        <s v="Online"/>
        <s v="Outlet"/>
      </sharedItems>
    </cacheField>
  </cacheFields>
  <cacheHierarchies count="3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Retailer ID]" caption="Retailer ID" attribute="1" defaultMemberUniqueName="[Sheet1].[Retailer ID].[All]" allUniqueName="[Sheet1].[Retailer ID].[All]" dimensionUniqueName="[Sheet1]" displayFolder="" count="0" memberValueDatatype="130" unbalanced="0"/>
    <cacheHierarchy uniqueName="[Sheet1].[Retailer]" caption="Retailer" attribute="1" defaultMemberUniqueName="[Sheet1].[Retailer].[All]" allUniqueName="[Sheet1].[Retailer].[All]" dimensionUniqueName="[Sheet1]" displayFolder="" count="0" memberValueDatatype="130" unbalanced="0"/>
    <cacheHierarchy uniqueName="[Sheet1].[Invoice Date]" caption="Invoice Date" attribute="1" time="1" defaultMemberUniqueName="[Sheet1].[Invoice Date].[All]" allUniqueName="[Sheet1].[Invoice Date].[All]" dimensionUniqueName="[Sheet1]" displayFolder="" count="0" memberValueDatatype="7" unbalanced="0"/>
    <cacheHierarchy uniqueName="[Sheet1].[Region]" caption="Region" attribute="1" defaultMemberUniqueName="[Sheet1].[Region].[All]" allUniqueName="[Sheet1].[Region].[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Price per Unit]" caption="Price per Unit" attribute="1" defaultMemberUniqueName="[Sheet1].[Price per Unit].[All]" allUniqueName="[Sheet1].[Price per Unit].[All]" dimensionUniqueName="[Sheet1]" displayFolder="" count="0" memberValueDatatype="5" unbalanced="0"/>
    <cacheHierarchy uniqueName="[Sheet1].[Units Sold]" caption="Units Sold" attribute="1" defaultMemberUniqueName="[Sheet1].[Units Sold].[All]" allUniqueName="[Sheet1].[Units Sold].[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Sales Method]" caption="Sales Method" attribute="1" defaultMemberUniqueName="[Sheet1].[Sales Method].[All]" allUniqueName="[Sheet1].[Sales Method].[All]" dimensionUniqueName="[Sheet1]" displayFolder="" count="2" memberValueDatatype="130" unbalanced="0">
      <fieldsUsage count="2">
        <fieldUsage x="-1"/>
        <fieldUsage x="1"/>
      </fieldsUsage>
    </cacheHierarchy>
    <cacheHierarchy uniqueName="[Measures].[Remove Filter From Sales Method]" caption="Remove Filter From Sales Method" measure="1" displayFolder="" measureGroup="Sheet1" count="0"/>
    <cacheHierarchy uniqueName="[Measures].[Percentage of Sales Method]" caption="Percentage of Sales Method" measure="1" displayFolder="" measureGroup="Sheet1" count="0"/>
    <cacheHierarchy uniqueName="[Measures].[CY Revenue ]" caption="CY Revenue " measure="1" displayFolder="" measureGroup="Sheet1" count="0"/>
    <cacheHierarchy uniqueName="[Measures].[PY Revenue]" caption="PY Revenue" measure="1" displayFolder="" measureGroup="Sheet1" count="0"/>
    <cacheHierarchy uniqueName="[Measures].[YOY Growth Rate]" caption="YOY Growth Rate" measure="1" displayFolder="" measureGroup="Sheet1" count="0"/>
    <cacheHierarchy uniqueName="[Measures].[Remove FIlter From Year]" caption="Remove FIlter From Year" measure="1" displayFolder="" measureGroup="Sheet1" count="0"/>
    <cacheHierarchy uniqueName="[Measures].[Percentage of Year Revenue]" caption="Percentage of Year Revenue"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Sheet1"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Sheet1"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heet1" count="0" hidden="1">
      <extLst>
        <ext xmlns:x15="http://schemas.microsoft.com/office/spreadsheetml/2010/11/main" uri="{B97F6D7D-B522-45F9-BDA1-12C45D357490}">
          <x15:cacheHierarchy aggregatedColumn="14"/>
        </ext>
      </extLst>
    </cacheHierarchy>
    <cacheHierarchy uniqueName="[Measures].[Count of Retailer ID]" caption="Count of Retailer ID" measure="1" displayFolder="" measureGroup="Sheet1" count="0" hidden="1">
      <extLst>
        <ext xmlns:x15="http://schemas.microsoft.com/office/spreadsheetml/2010/11/main" uri="{B97F6D7D-B522-45F9-BDA1-12C45D357490}">
          <x15:cacheHierarchy aggregatedColumn="6"/>
        </ext>
      </extLst>
    </cacheHierarchy>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berechi Enyinnaya" refreshedDate="45536.868685995367" backgroundQuery="1" createdVersion="8" refreshedVersion="8" minRefreshableVersion="3" recordCount="0" supportSubquery="1" supportAdvancedDrill="1" xr:uid="{DB0A6353-595C-45E2-A40A-CD7F45A9F1BB}">
  <cacheSource type="external" connectionId="4"/>
  <cacheFields count="2">
    <cacheField name="[Sheet1].[Retailer].[Retailer]" caption="Retailer" numFmtId="0" hierarchy="7" level="1">
      <sharedItems count="6">
        <s v="Afroque Bonquet"/>
        <s v="Back2Shape Essentials"/>
        <s v="Jabary Needles"/>
        <s v="Mariana Stitches"/>
        <s v="Marina Stitches"/>
        <s v="Treaz Empire"/>
      </sharedItems>
    </cacheField>
    <cacheField name="[Measures].[Sum of Revenue]" caption="Sum of Revenue" numFmtId="0" hierarchy="27" level="32767"/>
  </cacheFields>
  <cacheHierarchies count="3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Retailer ID]" caption="Retailer ID" attribute="1" defaultMemberUniqueName="[Sheet1].[Retailer ID].[All]" allUniqueName="[Sheet1].[Retailer ID].[All]" dimensionUniqueName="[Sheet1]" displayFolder="" count="0" memberValueDatatype="130" unbalanced="0"/>
    <cacheHierarchy uniqueName="[Sheet1].[Retailer]" caption="Retailer" attribute="1" defaultMemberUniqueName="[Sheet1].[Retailer].[All]" allUniqueName="[Sheet1].[Retailer].[All]" dimensionUniqueName="[Sheet1]" displayFolder="" count="2" memberValueDatatype="130" unbalanced="0">
      <fieldsUsage count="2">
        <fieldUsage x="-1"/>
        <fieldUsage x="0"/>
      </fieldsUsage>
    </cacheHierarchy>
    <cacheHierarchy uniqueName="[Sheet1].[Invoice Date]" caption="Invoice Date" attribute="1" time="1" defaultMemberUniqueName="[Sheet1].[Invoice Date].[All]" allUniqueName="[Sheet1].[Invoice Date].[All]" dimensionUniqueName="[Sheet1]" displayFolder="" count="0" memberValueDatatype="7" unbalanced="0"/>
    <cacheHierarchy uniqueName="[Sheet1].[Region]" caption="Region" attribute="1" defaultMemberUniqueName="[Sheet1].[Region].[All]" allUniqueName="[Sheet1].[Region].[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Price per Unit]" caption="Price per Unit" attribute="1" defaultMemberUniqueName="[Sheet1].[Price per Unit].[All]" allUniqueName="[Sheet1].[Price per Unit].[All]" dimensionUniqueName="[Sheet1]" displayFolder="" count="0" memberValueDatatype="5" unbalanced="0"/>
    <cacheHierarchy uniqueName="[Sheet1].[Units Sold]" caption="Units Sold" attribute="1" defaultMemberUniqueName="[Sheet1].[Units Sold].[All]" allUniqueName="[Sheet1].[Units Sold].[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Sales Method]" caption="Sales Method" attribute="1" defaultMemberUniqueName="[Sheet1].[Sales Method].[All]" allUniqueName="[Sheet1].[Sales Method].[All]" dimensionUniqueName="[Sheet1]" displayFolder="" count="0" memberValueDatatype="130" unbalanced="0"/>
    <cacheHierarchy uniqueName="[Measures].[Remove Filter From Sales Method]" caption="Remove Filter From Sales Method" measure="1" displayFolder="" measureGroup="Sheet1" count="0"/>
    <cacheHierarchy uniqueName="[Measures].[Percentage of Sales Method]" caption="Percentage of Sales Method" measure="1" displayFolder="" measureGroup="Sheet1" count="0"/>
    <cacheHierarchy uniqueName="[Measures].[CY Revenue ]" caption="CY Revenue " measure="1" displayFolder="" measureGroup="Sheet1" count="0"/>
    <cacheHierarchy uniqueName="[Measures].[PY Revenue]" caption="PY Revenue" measure="1" displayFolder="" measureGroup="Sheet1" count="0"/>
    <cacheHierarchy uniqueName="[Measures].[YOY Growth Rate]" caption="YOY Growth Rate" measure="1" displayFolder="" measureGroup="Sheet1" count="0"/>
    <cacheHierarchy uniqueName="[Measures].[Remove FIlter From Year]" caption="Remove FIlter From Year" measure="1" displayFolder="" measureGroup="Sheet1" count="0"/>
    <cacheHierarchy uniqueName="[Measures].[Percentage of Year Revenue]" caption="Percentage of Year Revenue"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Sheet1"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Sheet1"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heet1" count="0" hidden="1">
      <extLst>
        <ext xmlns:x15="http://schemas.microsoft.com/office/spreadsheetml/2010/11/main" uri="{B97F6D7D-B522-45F9-BDA1-12C45D357490}">
          <x15:cacheHierarchy aggregatedColumn="14"/>
        </ext>
      </extLst>
    </cacheHierarchy>
    <cacheHierarchy uniqueName="[Measures].[Count of Retailer ID]" caption="Count of Retailer ID" measure="1" displayFolder="" measureGroup="Sheet1" count="0" hidden="1">
      <extLst>
        <ext xmlns:x15="http://schemas.microsoft.com/office/spreadsheetml/2010/11/main" uri="{B97F6D7D-B522-45F9-BDA1-12C45D357490}">
          <x15:cacheHierarchy aggregatedColumn="6"/>
        </ext>
      </extLst>
    </cacheHierarchy>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berechi Enyinnaya" refreshedDate="45536.868686921298" backgroundQuery="1" createdVersion="8" refreshedVersion="8" minRefreshableVersion="3" recordCount="0" supportSubquery="1" supportAdvancedDrill="1" xr:uid="{32664B85-CDCA-4081-8346-D61D21DC9E3B}">
  <cacheSource type="external" connectionId="4"/>
  <cacheFields count="2">
    <cacheField name="[Measures].[Sum of Revenue]" caption="Sum of Revenue" numFmtId="0" hierarchy="27" level="32767"/>
    <cacheField name="[Calendar].[Day Of Week].[Day Of Week]" caption="Day Of Week" numFmtId="0" hierarchy="5" level="1">
      <sharedItems count="7">
        <s v="Sun"/>
        <s v="Mon"/>
        <s v="Tue"/>
        <s v="Wed"/>
        <s v="Thu"/>
        <s v="Fri"/>
        <s v="Sat"/>
      </sharedItems>
    </cacheField>
  </cacheFields>
  <cacheHierarchies count="3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1"/>
      </fieldsUsage>
    </cacheHierarchy>
    <cacheHierarchy uniqueName="[Sheet1].[Retailer ID]" caption="Retailer ID" attribute="1" defaultMemberUniqueName="[Sheet1].[Retailer ID].[All]" allUniqueName="[Sheet1].[Retailer ID].[All]" dimensionUniqueName="[Sheet1]" displayFolder="" count="0" memberValueDatatype="130" unbalanced="0"/>
    <cacheHierarchy uniqueName="[Sheet1].[Retailer]" caption="Retailer" attribute="1" defaultMemberUniqueName="[Sheet1].[Retailer].[All]" allUniqueName="[Sheet1].[Retailer].[All]" dimensionUniqueName="[Sheet1]" displayFolder="" count="0" memberValueDatatype="130" unbalanced="0"/>
    <cacheHierarchy uniqueName="[Sheet1].[Invoice Date]" caption="Invoice Date" attribute="1" time="1" defaultMemberUniqueName="[Sheet1].[Invoice Date].[All]" allUniqueName="[Sheet1].[Invoice Date].[All]" dimensionUniqueName="[Sheet1]" displayFolder="" count="0" memberValueDatatype="7" unbalanced="0"/>
    <cacheHierarchy uniqueName="[Sheet1].[Region]" caption="Region" attribute="1" defaultMemberUniqueName="[Sheet1].[Region].[All]" allUniqueName="[Sheet1].[Region].[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Price per Unit]" caption="Price per Unit" attribute="1" defaultMemberUniqueName="[Sheet1].[Price per Unit].[All]" allUniqueName="[Sheet1].[Price per Unit].[All]" dimensionUniqueName="[Sheet1]" displayFolder="" count="0" memberValueDatatype="5" unbalanced="0"/>
    <cacheHierarchy uniqueName="[Sheet1].[Units Sold]" caption="Units Sold" attribute="1" defaultMemberUniqueName="[Sheet1].[Units Sold].[All]" allUniqueName="[Sheet1].[Units Sold].[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Sales Method]" caption="Sales Method" attribute="1" defaultMemberUniqueName="[Sheet1].[Sales Method].[All]" allUniqueName="[Sheet1].[Sales Method].[All]" dimensionUniqueName="[Sheet1]" displayFolder="" count="0" memberValueDatatype="130" unbalanced="0"/>
    <cacheHierarchy uniqueName="[Measures].[Remove Filter From Sales Method]" caption="Remove Filter From Sales Method" measure="1" displayFolder="" measureGroup="Sheet1" count="0"/>
    <cacheHierarchy uniqueName="[Measures].[Percentage of Sales Method]" caption="Percentage of Sales Method" measure="1" displayFolder="" measureGroup="Sheet1" count="0"/>
    <cacheHierarchy uniqueName="[Measures].[CY Revenue ]" caption="CY Revenue " measure="1" displayFolder="" measureGroup="Sheet1" count="0"/>
    <cacheHierarchy uniqueName="[Measures].[PY Revenue]" caption="PY Revenue" measure="1" displayFolder="" measureGroup="Sheet1" count="0"/>
    <cacheHierarchy uniqueName="[Measures].[YOY Growth Rate]" caption="YOY Growth Rate" measure="1" displayFolder="" measureGroup="Sheet1" count="0"/>
    <cacheHierarchy uniqueName="[Measures].[Remove FIlter From Year]" caption="Remove FIlter From Year" measure="1" displayFolder="" measureGroup="Sheet1" count="0"/>
    <cacheHierarchy uniqueName="[Measures].[Percentage of Year Revenue]" caption="Percentage of Year Revenue"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Sheet1"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Sheet1"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heet1" count="0" hidden="1">
      <extLst>
        <ext xmlns:x15="http://schemas.microsoft.com/office/spreadsheetml/2010/11/main" uri="{B97F6D7D-B522-45F9-BDA1-12C45D357490}">
          <x15:cacheHierarchy aggregatedColumn="14"/>
        </ext>
      </extLst>
    </cacheHierarchy>
    <cacheHierarchy uniqueName="[Measures].[Count of Retailer ID]" caption="Count of Retailer ID" measure="1" displayFolder="" measureGroup="Sheet1" count="0" hidden="1">
      <extLst>
        <ext xmlns:x15="http://schemas.microsoft.com/office/spreadsheetml/2010/11/main" uri="{B97F6D7D-B522-45F9-BDA1-12C45D357490}">
          <x15:cacheHierarchy aggregatedColumn="6"/>
        </ext>
      </extLst>
    </cacheHierarchy>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berechi Enyinnaya" refreshedDate="45938.496780092595" backgroundQuery="1" createdVersion="8" refreshedVersion="8" minRefreshableVersion="3" recordCount="0" supportSubquery="1" supportAdvancedDrill="1" xr:uid="{1BDA55DF-B256-40FF-8330-84D90A6DA198}">
  <cacheSource type="external" connectionId="4"/>
  <cacheFields count="3">
    <cacheField name="[Measures].[Sum of Revenue]" caption="Sum of Revenue" numFmtId="0" hierarchy="27" level="32767"/>
    <cacheField name="[Sheet1].[Region].[Region]" caption="Region" numFmtId="0" hierarchy="9" level="1">
      <sharedItems count="1">
        <s v="Central"/>
      </sharedItems>
    </cacheField>
    <cacheField name="[Sheet1].[Product].[Product]" caption="Product" numFmtId="0" hierarchy="12" level="1">
      <sharedItems count="6">
        <s v="Just for Her"/>
        <s v="Just for Men"/>
        <s v="Kampala Foot Wear"/>
        <s v="Kiddies Wear"/>
        <s v="Summer Wear"/>
        <s v="Women's Beach Wear"/>
      </sharedItems>
    </cacheField>
  </cacheFields>
  <cacheHierarchies count="31">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heet1].[Retailer ID]" caption="Retailer ID" attribute="1" defaultMemberUniqueName="[Sheet1].[Retailer ID].[All]" allUniqueName="[Sheet1].[Retailer ID].[All]" dimensionUniqueName="[Sheet1]" displayFolder="" count="2" memberValueDatatype="130" unbalanced="0"/>
    <cacheHierarchy uniqueName="[Sheet1].[Retailer]" caption="Retailer" attribute="1" defaultMemberUniqueName="[Sheet1].[Retailer].[All]" allUniqueName="[Sheet1].[Retailer].[All]" dimensionUniqueName="[Sheet1]" displayFolder="" count="2" memberValueDatatype="130" unbalanced="0"/>
    <cacheHierarchy uniqueName="[Sheet1].[Invoice Date]" caption="Invoice Date" attribute="1" time="1" defaultMemberUniqueName="[Sheet1].[Invoice Date].[All]" allUniqueName="[Sheet1].[Invoice Date].[All]" dimensionUniqueName="[Sheet1]" displayFolder="" count="2" memberValueDatatype="7" unbalanced="0"/>
    <cacheHierarchy uniqueName="[Sheet1].[Region]" caption="Region" attribute="1" defaultMemberUniqueName="[Sheet1].[Region].[All]" allUniqueName="[Sheet1].[Region].[All]" dimensionUniqueName="[Sheet1]" displayFolder="" count="2" memberValueDatatype="130" unbalanced="0">
      <fieldsUsage count="2">
        <fieldUsage x="-1"/>
        <fieldUsage x="1"/>
      </fieldsUsage>
    </cacheHierarchy>
    <cacheHierarchy uniqueName="[Sheet1].[State]" caption="State" attribute="1" defaultMemberUniqueName="[Sheet1].[State].[All]" allUniqueName="[Sheet1].[State].[All]" dimensionUniqueName="[Sheet1]" displayFolder="" count="2" memberValueDatatype="130" unbalanced="0"/>
    <cacheHierarchy uniqueName="[Sheet1].[City]" caption="City" attribute="1" defaultMemberUniqueName="[Sheet1].[City].[All]" allUniqueName="[Sheet1].[Cit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2"/>
      </fieldsUsage>
    </cacheHierarchy>
    <cacheHierarchy uniqueName="[Sheet1].[Price per Unit]" caption="Price per Unit" attribute="1" defaultMemberUniqueName="[Sheet1].[Price per Unit].[All]" allUniqueName="[Sheet1].[Price per Unit].[All]" dimensionUniqueName="[Sheet1]" displayFolder="" count="2" memberValueDatatype="5" unbalanced="0"/>
    <cacheHierarchy uniqueName="[Sheet1].[Units Sold]" caption="Units Sold" attribute="1" defaultMemberUniqueName="[Sheet1].[Units Sold].[All]" allUniqueName="[Sheet1].[Units Sold].[All]" dimensionUniqueName="[Sheet1]" displayFolder="" count="2" memberValueDatatype="20" unbalanced="0"/>
    <cacheHierarchy uniqueName="[Sheet1].[Revenue]" caption="Revenue" attribute="1" defaultMemberUniqueName="[Sheet1].[Revenue].[All]" allUniqueName="[Sheet1].[Revenue].[All]" dimensionUniqueName="[Sheet1]" displayFolder="" count="2" memberValueDatatype="5" unbalanced="0"/>
    <cacheHierarchy uniqueName="[Sheet1].[Sales Method]" caption="Sales Method" attribute="1" defaultMemberUniqueName="[Sheet1].[Sales Method].[All]" allUniqueName="[Sheet1].[Sales Method].[All]" dimensionUniqueName="[Sheet1]" displayFolder="" count="2" memberValueDatatype="130" unbalanced="0"/>
    <cacheHierarchy uniqueName="[Measures].[Remove Filter From Sales Method]" caption="Remove Filter From Sales Method" measure="1" displayFolder="" measureGroup="Sheet1" count="0"/>
    <cacheHierarchy uniqueName="[Measures].[Percentage of Sales Method]" caption="Percentage of Sales Method" measure="1" displayFolder="" measureGroup="Sheet1" count="0"/>
    <cacheHierarchy uniqueName="[Measures].[CY Revenue ]" caption="CY Revenue " measure="1" displayFolder="" measureGroup="Sheet1" count="0"/>
    <cacheHierarchy uniqueName="[Measures].[PY Revenue]" caption="PY Revenue" measure="1" displayFolder="" measureGroup="Sheet1" count="0"/>
    <cacheHierarchy uniqueName="[Measures].[YOY Growth Rate]" caption="YOY Growth Rate" measure="1" displayFolder="" measureGroup="Sheet1" count="0"/>
    <cacheHierarchy uniqueName="[Measures].[Remove FIlter From Year]" caption="Remove FIlter From Year" measure="1" displayFolder="" measureGroup="Sheet1" count="0"/>
    <cacheHierarchy uniqueName="[Measures].[Percentage of Year Revenue]" caption="Percentage of Year Revenue"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Sheet1"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Sheet1"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heet1" count="0" hidden="1">
      <extLst>
        <ext xmlns:x15="http://schemas.microsoft.com/office/spreadsheetml/2010/11/main" uri="{B97F6D7D-B522-45F9-BDA1-12C45D357490}">
          <x15:cacheHierarchy aggregatedColumn="14"/>
        </ext>
      </extLst>
    </cacheHierarchy>
    <cacheHierarchy uniqueName="[Measures].[Count of Retailer ID]" caption="Count of Retailer ID" measure="1" displayFolder="" measureGroup="Sheet1" count="0" hidden="1">
      <extLst>
        <ext xmlns:x15="http://schemas.microsoft.com/office/spreadsheetml/2010/11/main" uri="{B97F6D7D-B522-45F9-BDA1-12C45D357490}">
          <x15:cacheHierarchy aggregatedColumn="6"/>
        </ext>
      </extLst>
    </cacheHierarchy>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berechi Enyinnaya" refreshedDate="45536.868686921298" backgroundQuery="1" createdVersion="3" refreshedVersion="8" minRefreshableVersion="3" recordCount="0" supportSubquery="1" supportAdvancedDrill="1" xr:uid="{EF939B46-14E9-4C5D-99AB-FA0E30BFDC62}">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Retailer ID]" caption="Retailer ID" attribute="1" defaultMemberUniqueName="[Sheet1].[Retailer ID].[All]" allUniqueName="[Sheet1].[Retailer ID].[All]" dimensionUniqueName="[Sheet1]" displayFolder="" count="0" memberValueDatatype="130" unbalanced="0"/>
    <cacheHierarchy uniqueName="[Sheet1].[Retailer]" caption="Retailer" attribute="1" defaultMemberUniqueName="[Sheet1].[Retailer].[All]" allUniqueName="[Sheet1].[Retailer].[All]" dimensionUniqueName="[Sheet1]" displayFolder="" count="2" memberValueDatatype="130" unbalanced="0"/>
    <cacheHierarchy uniqueName="[Sheet1].[Invoice Date]" caption="Invoice Date" attribute="1" time="1" defaultMemberUniqueName="[Sheet1].[Invoice Date].[All]" allUniqueName="[Sheet1].[Invoice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State]" caption="State" attribute="1" defaultMemberUniqueName="[Sheet1].[State].[All]" allUniqueName="[Sheet1].[Stat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Price per Unit]" caption="Price per Unit" attribute="1" defaultMemberUniqueName="[Sheet1].[Price per Unit].[All]" allUniqueName="[Sheet1].[Price per Unit].[All]" dimensionUniqueName="[Sheet1]" displayFolder="" count="0" memberValueDatatype="5" unbalanced="0"/>
    <cacheHierarchy uniqueName="[Sheet1].[Units Sold]" caption="Units Sold" attribute="1" defaultMemberUniqueName="[Sheet1].[Units Sold].[All]" allUniqueName="[Sheet1].[Units Sold].[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Sales Method]" caption="Sales Method" attribute="1" defaultMemberUniqueName="[Sheet1].[Sales Method].[All]" allUniqueName="[Sheet1].[Sales Method].[All]" dimensionUniqueName="[Sheet1]" displayFolder="" count="2" memberValueDatatype="130" unbalanced="0"/>
    <cacheHierarchy uniqueName="[Measures].[Remove Filter From Sales Method]" caption="Remove Filter From Sales Method" measure="1" displayFolder="" measureGroup="Sheet1" count="0"/>
    <cacheHierarchy uniqueName="[Measures].[Percentage of Sales Method]" caption="Percentage of Sales Method" measure="1" displayFolder="" measureGroup="Sheet1" count="0"/>
    <cacheHierarchy uniqueName="[Measures].[CY Revenue ]" caption="CY Revenue " measure="1" displayFolder="" measureGroup="Sheet1" count="0"/>
    <cacheHierarchy uniqueName="[Measures].[PY Revenue]" caption="PY Revenue" measure="1" displayFolder="" measureGroup="Sheet1" count="0"/>
    <cacheHierarchy uniqueName="[Measures].[YOY Growth Rate]" caption="YOY Growth Rate" measure="1" displayFolder="" measureGroup="Sheet1" count="0"/>
    <cacheHierarchy uniqueName="[Measures].[Remove FIlter From Year]" caption="Remove FIlter From Year" measure="1" displayFolder="" measureGroup="Sheet1" count="0"/>
    <cacheHierarchy uniqueName="[Measures].[Percentage of Year Revenue]" caption="Percentage of Year Revenue"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Sheet1"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Sheet1"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heet1" count="0" hidden="1">
      <extLst>
        <ext xmlns:x15="http://schemas.microsoft.com/office/spreadsheetml/2010/11/main" uri="{B97F6D7D-B522-45F9-BDA1-12C45D357490}">
          <x15:cacheHierarchy aggregatedColumn="14"/>
        </ext>
      </extLst>
    </cacheHierarchy>
    <cacheHierarchy uniqueName="[Measures].[Count of Retailer ID]" caption="Count of Retailer ID" measure="1" displayFolder="" measureGroup="Sheet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7947015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AC6931-1678-4769-A028-36460C700E7D}" name="PivotTable1" cacheId="5" applyNumberFormats="0" applyBorderFormats="0" applyFontFormats="0" applyPatternFormats="0" applyAlignmentFormats="0" applyWidthHeightFormats="1" dataCaption="Values" tag="446b265c-ee5d-482a-a42b-3d8777349a04" updatedVersion="8" minRefreshableVersion="3" useAutoFormatting="1" itemPrintTitles="1" createdVersion="8" indent="0" outline="1" outlineData="1" multipleFieldFilters="0" chartFormat="6">
  <location ref="A3:B1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1A9273-CA63-40F2-819A-1A7A843AB37F}" name="PivotTable2" cacheId="4" applyNumberFormats="0" applyBorderFormats="0" applyFontFormats="0" applyPatternFormats="0" applyAlignmentFormats="0" applyWidthHeightFormats="1" dataCaption="Values" tag="2381944e-9b27-49b2-b428-ea5e5193b11b" updatedVersion="8" minRefreshableVersion="3" useAutoFormatting="1" itemPrintTitles="1" createdVersion="8" indent="0" outline="1" outlineData="1" multipleFieldFilters="0" chartFormat="3">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Revenue" fld="1"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iana Store^J Cleaned data.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B5AB67-36A1-4782-9CBF-ABF15DD33A4E}" name="PivotTable3" cacheId="3" applyNumberFormats="0" applyBorderFormats="0" applyFontFormats="0" applyPatternFormats="0" applyAlignmentFormats="0" applyWidthHeightFormats="1" dataCaption="Values" tag="edb0346d-4dcf-4aad-8b3c-d40087418838" updatedVersion="8" minRefreshableVersion="3" useAutoFormatting="1" itemPrintTitles="1" createdVersion="8" indent="0" outline="1" outlineData="1" multipleFieldFilters="0" chartFormat="3">
  <location ref="A3:B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Revenue" fld="0"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 count="1" selected="0">
            <x v="0"/>
          </reference>
        </references>
      </pivotArea>
    </chartFormat>
    <chartFormat chart="1" format="6">
      <pivotArea type="data" outline="0" fieldPosition="0">
        <references count="2">
          <reference field="4294967294" count="1" selected="0">
            <x v="0"/>
          </reference>
          <reference field="1" count="1" selected="0">
            <x v="1"/>
          </reference>
        </references>
      </pivotArea>
    </chartFormat>
    <chartFormat chart="1" format="7">
      <pivotArea type="data" outline="0" fieldPosition="0">
        <references count="2">
          <reference field="4294967294" count="1" selected="0">
            <x v="0"/>
          </reference>
          <reference field="1"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iana Store^J Cleaned data.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99722E-F3D8-44E1-A423-C8CD79123E99}" name="PivotTable4" cacheId="16" applyNumberFormats="0" applyBorderFormats="0" applyFontFormats="0" applyPatternFormats="0" applyAlignmentFormats="0" applyWidthHeightFormats="1" dataCaption="Values" tag="d7f7ae59-76da-4b7d-98df-5c7dbabfae99" updatedVersion="8" minRefreshableVersion="3" useAutoFormatting="1" itemPrintTitles="1" createdVersion="8" indent="0" outline="1" outlineData="1" multipleFieldFilters="0" chartFormat="12">
  <location ref="A3:H6" firstHeaderRow="1" firstDataRow="2" firstDataCol="1"/>
  <pivotFields count="3">
    <pivotField dataField="1" subtotalTop="0" showAll="0" defaultSubtotal="0"/>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6">
        <item x="0"/>
        <item x="1"/>
        <item x="2"/>
        <item x="3"/>
        <item x="4"/>
        <item x="5"/>
      </items>
    </pivotField>
  </pivotFields>
  <rowFields count="1">
    <field x="1"/>
  </rowFields>
  <rowItems count="2">
    <i>
      <x/>
    </i>
    <i t="grand">
      <x/>
    </i>
  </rowItems>
  <colFields count="1">
    <field x="2"/>
  </colFields>
  <colItems count="7">
    <i>
      <x/>
    </i>
    <i>
      <x v="1"/>
    </i>
    <i>
      <x v="2"/>
    </i>
    <i>
      <x v="3"/>
    </i>
    <i>
      <x v="4"/>
    </i>
    <i>
      <x v="5"/>
    </i>
    <i t="grand">
      <x/>
    </i>
  </colItems>
  <dataFields count="1">
    <dataField name="Sum of Revenue" fld="0" baseField="0" baseItem="0"/>
  </dataFields>
  <chartFormats count="4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4"/>
          </reference>
        </references>
      </pivotArea>
    </chartFormat>
    <chartFormat chart="5" format="17" series="1">
      <pivotArea type="data" outline="0" fieldPosition="0">
        <references count="2">
          <reference field="4294967294" count="1" selected="0">
            <x v="0"/>
          </reference>
          <reference field="2" count="1" selected="0">
            <x v="5"/>
          </reference>
        </references>
      </pivotArea>
    </chartFormat>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2">
          <reference field="4294967294" count="1" selected="0">
            <x v="0"/>
          </reference>
          <reference field="2" count="1" selected="0">
            <x v="3"/>
          </reference>
        </references>
      </pivotArea>
    </chartFormat>
    <chartFormat chart="6" format="4" series="1">
      <pivotArea type="data" outline="0" fieldPosition="0">
        <references count="2">
          <reference field="4294967294" count="1" selected="0">
            <x v="0"/>
          </reference>
          <reference field="2" count="1" selected="0">
            <x v="4"/>
          </reference>
        </references>
      </pivotArea>
    </chartFormat>
    <chartFormat chart="6" format="5" series="1">
      <pivotArea type="data" outline="0" fieldPosition="0">
        <references count="2">
          <reference field="4294967294" count="1" selected="0">
            <x v="0"/>
          </reference>
          <reference field="2" count="1" selected="0">
            <x v="5"/>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 chart="7" format="9" series="1">
      <pivotArea type="data" outline="0" fieldPosition="0">
        <references count="2">
          <reference field="4294967294" count="1" selected="0">
            <x v="0"/>
          </reference>
          <reference field="2" count="1" selected="0">
            <x v="3"/>
          </reference>
        </references>
      </pivotArea>
    </chartFormat>
    <chartFormat chart="7" format="10" series="1">
      <pivotArea type="data" outline="0" fieldPosition="0">
        <references count="2">
          <reference field="4294967294" count="1" selected="0">
            <x v="0"/>
          </reference>
          <reference field="2" count="1" selected="0">
            <x v="4"/>
          </reference>
        </references>
      </pivotArea>
    </chartFormat>
    <chartFormat chart="7" format="11" series="1">
      <pivotArea type="data" outline="0" fieldPosition="0">
        <references count="2">
          <reference field="4294967294" count="1" selected="0">
            <x v="0"/>
          </reference>
          <reference field="2" count="1" selected="0">
            <x v="5"/>
          </reference>
        </references>
      </pivotArea>
    </chartFormat>
    <chartFormat chart="8" format="12" series="1">
      <pivotArea type="data" outline="0" fieldPosition="0">
        <references count="2">
          <reference field="4294967294" count="1" selected="0">
            <x v="0"/>
          </reference>
          <reference field="2" count="1" selected="0">
            <x v="0"/>
          </reference>
        </references>
      </pivotArea>
    </chartFormat>
    <chartFormat chart="8" format="13" series="1">
      <pivotArea type="data" outline="0" fieldPosition="0">
        <references count="2">
          <reference field="4294967294" count="1" selected="0">
            <x v="0"/>
          </reference>
          <reference field="2" count="1" selected="0">
            <x v="1"/>
          </reference>
        </references>
      </pivotArea>
    </chartFormat>
    <chartFormat chart="8" format="14" series="1">
      <pivotArea type="data" outline="0" fieldPosition="0">
        <references count="2">
          <reference field="4294967294" count="1" selected="0">
            <x v="0"/>
          </reference>
          <reference field="2" count="1" selected="0">
            <x v="2"/>
          </reference>
        </references>
      </pivotArea>
    </chartFormat>
    <chartFormat chart="8" format="15" series="1">
      <pivotArea type="data" outline="0" fieldPosition="0">
        <references count="2">
          <reference field="4294967294" count="1" selected="0">
            <x v="0"/>
          </reference>
          <reference field="2" count="1" selected="0">
            <x v="3"/>
          </reference>
        </references>
      </pivotArea>
    </chartFormat>
    <chartFormat chart="8" format="16" series="1">
      <pivotArea type="data" outline="0" fieldPosition="0">
        <references count="2">
          <reference field="4294967294" count="1" selected="0">
            <x v="0"/>
          </reference>
          <reference field="2" count="1" selected="0">
            <x v="4"/>
          </reference>
        </references>
      </pivotArea>
    </chartFormat>
    <chartFormat chart="8" format="17" series="1">
      <pivotArea type="data" outline="0" fieldPosition="0">
        <references count="2">
          <reference field="4294967294" count="1" selected="0">
            <x v="0"/>
          </reference>
          <reference field="2" count="1" selected="0">
            <x v="5"/>
          </reference>
        </references>
      </pivotArea>
    </chartFormat>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9" format="3" series="1">
      <pivotArea type="data" outline="0" fieldPosition="0">
        <references count="2">
          <reference field="4294967294" count="1" selected="0">
            <x v="0"/>
          </reference>
          <reference field="2" count="1" selected="0">
            <x v="3"/>
          </reference>
        </references>
      </pivotArea>
    </chartFormat>
    <chartFormat chart="9" format="4" series="1">
      <pivotArea type="data" outline="0" fieldPosition="0">
        <references count="2">
          <reference field="4294967294" count="1" selected="0">
            <x v="0"/>
          </reference>
          <reference field="2" count="1" selected="0">
            <x v="4"/>
          </reference>
        </references>
      </pivotArea>
    </chartFormat>
    <chartFormat chart="9" format="5" series="1">
      <pivotArea type="data" outline="0" fieldPosition="0">
        <references count="2">
          <reference field="4294967294" count="1" selected="0">
            <x v="0"/>
          </reference>
          <reference field="2" count="1" selected="0">
            <x v="5"/>
          </reference>
        </references>
      </pivotArea>
    </chartFormat>
    <chartFormat chart="11" format="12" series="1">
      <pivotArea type="data" outline="0" fieldPosition="0">
        <references count="2">
          <reference field="4294967294" count="1" selected="0">
            <x v="0"/>
          </reference>
          <reference field="2" count="1" selected="0">
            <x v="0"/>
          </reference>
        </references>
      </pivotArea>
    </chartFormat>
    <chartFormat chart="11" format="13" series="1">
      <pivotArea type="data" outline="0" fieldPosition="0">
        <references count="2">
          <reference field="4294967294" count="1" selected="0">
            <x v="0"/>
          </reference>
          <reference field="2" count="1" selected="0">
            <x v="1"/>
          </reference>
        </references>
      </pivotArea>
    </chartFormat>
    <chartFormat chart="11" format="14" series="1">
      <pivotArea type="data" outline="0" fieldPosition="0">
        <references count="2">
          <reference field="4294967294" count="1" selected="0">
            <x v="0"/>
          </reference>
          <reference field="2" count="1" selected="0">
            <x v="2"/>
          </reference>
        </references>
      </pivotArea>
    </chartFormat>
    <chartFormat chart="11" format="15" series="1">
      <pivotArea type="data" outline="0" fieldPosition="0">
        <references count="2">
          <reference field="4294967294" count="1" selected="0">
            <x v="0"/>
          </reference>
          <reference field="2" count="1" selected="0">
            <x v="3"/>
          </reference>
        </references>
      </pivotArea>
    </chartFormat>
    <chartFormat chart="11" format="16" series="1">
      <pivotArea type="data" outline="0" fieldPosition="0">
        <references count="2">
          <reference field="4294967294" count="1" selected="0">
            <x v="0"/>
          </reference>
          <reference field="2" count="1" selected="0">
            <x v="4"/>
          </reference>
        </references>
      </pivotArea>
    </chartFormat>
    <chartFormat chart="11" format="17" series="1">
      <pivotArea type="data" outline="0" fieldPosition="0">
        <references count="2">
          <reference field="4294967294" count="1" selected="0">
            <x v="0"/>
          </reference>
          <reference field="2" count="1" selected="0">
            <x v="5"/>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iana Store^J Cleaned data.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60876F-B844-426B-BDB6-3FAECA9F7CD6}" name="PivotTable6" cacheId="2" applyNumberFormats="0" applyBorderFormats="0" applyFontFormats="0" applyPatternFormats="0" applyAlignmentFormats="0" applyWidthHeightFormats="1" dataCaption="Values" tag="96e92096-2fae-4ef0-affb-619ee6d6bda6" updatedVersion="8" minRefreshableVersion="3" useAutoFormatting="1" itemPrintTitles="1" createdVersion="8" indent="0" outline="1" outlineData="1" multipleFieldFilters="0" chartFormat="10">
  <location ref="A3:D17" firstHeaderRow="1" firstDataRow="2"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s>
  <rowFields count="1">
    <field x="1"/>
  </rowFields>
  <rowItems count="13">
    <i>
      <x/>
    </i>
    <i>
      <x v="1"/>
    </i>
    <i>
      <x v="2"/>
    </i>
    <i>
      <x v="3"/>
    </i>
    <i>
      <x v="4"/>
    </i>
    <i>
      <x v="5"/>
    </i>
    <i>
      <x v="6"/>
    </i>
    <i>
      <x v="7"/>
    </i>
    <i>
      <x v="8"/>
    </i>
    <i>
      <x v="9"/>
    </i>
    <i>
      <x v="10"/>
    </i>
    <i>
      <x v="11"/>
    </i>
    <i t="grand">
      <x/>
    </i>
  </rowItems>
  <colFields count="1">
    <field x="2"/>
  </colFields>
  <colItems count="3">
    <i>
      <x/>
    </i>
    <i>
      <x v="1"/>
    </i>
    <i t="grand">
      <x/>
    </i>
  </colItems>
  <dataFields count="1">
    <dataField name="Sum of Revenue" fld="0" baseField="0" baseItem="0"/>
  </dataFields>
  <chartFormats count="6">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0"/>
          </reference>
        </references>
      </pivotArea>
    </chartFormat>
    <chartFormat chart="5" format="3" series="1">
      <pivotArea type="data" outline="0" fieldPosition="0">
        <references count="2">
          <reference field="4294967294" count="1" selected="0">
            <x v="0"/>
          </reference>
          <reference field="2" count="1" selected="0">
            <x v="1"/>
          </reference>
        </references>
      </pivotArea>
    </chartFormat>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ACD5B4-395A-4308-8543-FBB9A4FE0C23}" name="PivotTable8" cacheId="1" applyNumberFormats="0" applyBorderFormats="0" applyFontFormats="0" applyPatternFormats="0" applyAlignmentFormats="0" applyWidthHeightFormats="1" dataCaption="Values" tag="b48f9ad1-a519-4e61-81fc-2edc38ebf347" updatedVersion="8" minRefreshableVersion="3" useAutoFormatting="1" itemPrintTitles="1" createdVersion="8" indent="0" outline="1" outlineData="1" multipleFieldFilters="0" chartFormat="1">
  <location ref="A3:C6"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2"/>
  </colFields>
  <colItems count="2">
    <i>
      <x/>
    </i>
    <i i="1">
      <x v="1"/>
    </i>
  </colItems>
  <dataFields count="2">
    <dataField name="Sum of Revenue" fld="0" baseField="0" baseItem="0"/>
    <dataField fld="2"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BDAF1F-9AFE-4A47-BE91-6282E435E2B1}" name="PivotTable9" cacheId="0" applyNumberFormats="0" applyBorderFormats="0" applyFontFormats="0" applyPatternFormats="0" applyAlignmentFormats="0" applyWidthHeightFormats="1" dataCaption="Values" tag="88a8a577-e6a1-4145-ab1c-c08e4969326c"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Revenue" fld="0" baseField="0" baseItem="0"/>
    <dataField name="Average of Revenue" fld="1" subtotal="average" baseField="0" baseItem="0"/>
    <dataField name="Sum of Units Sold" fld="2" baseField="0" baseItem="0"/>
    <dataField fld="3" subtotal="count" baseField="0" baseItem="0"/>
    <dataField name="Count of Retailer ID" fld="4"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84EF3C5-059A-433D-935B-40B43DE58F12}" autoFormatId="16" applyNumberFormats="0" applyBorderFormats="0" applyFontFormats="0" applyPatternFormats="0" applyAlignmentFormats="0" applyWidthHeightFormats="0">
  <queryTableRefresh nextId="12">
    <queryTableFields count="11">
      <queryTableField id="1" name="Sheet1[Retailer ID]" tableColumnId="1"/>
      <queryTableField id="2" name="Sheet1[Retailer]" tableColumnId="2"/>
      <queryTableField id="3" name="Sheet1[Invoice Date]" tableColumnId="3"/>
      <queryTableField id="4" name="Sheet1[Region]" tableColumnId="4"/>
      <queryTableField id="5" name="Sheet1[State]" tableColumnId="5"/>
      <queryTableField id="6" name="Sheet1[City]" tableColumnId="6"/>
      <queryTableField id="7" name="Sheet1[Product]" tableColumnId="7"/>
      <queryTableField id="8" name="Sheet1[Price per Unit]" tableColumnId="8"/>
      <queryTableField id="9" name="Sheet1[Units Sold]" tableColumnId="9"/>
      <queryTableField id="10" name="Sheet1[Revenue]" tableColumnId="10"/>
      <queryTableField id="11" name="Sheet1[Sales Method]"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E24CD4EB-4020-4F5F-9495-C029E4D6A12F}" autoFormatId="16" applyNumberFormats="0" applyBorderFormats="0" applyFontFormats="0" applyPatternFormats="0" applyAlignmentFormats="0" applyWidthHeightFormats="0">
  <queryTableRefresh nextId="12">
    <queryTableFields count="11">
      <queryTableField id="1" name="Retailer ID" tableColumnId="1"/>
      <queryTableField id="2" name="Retailer"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Revenue" tableColumnId="10"/>
      <queryTableField id="11" name="Sales Method"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2AA919B-A532-4955-802E-74A401F3BF71}" sourceName="[Sheet1].[Product]">
  <data>
    <olap pivotCacheId="1794701577">
      <levels count="2">
        <level uniqueName="[Sheet1].[Product].[(All)]" sourceCaption="(All)" count="0"/>
        <level uniqueName="[Sheet1].[Product].[Product]" sourceCaption="Product" count="6">
          <ranges>
            <range startItem="0">
              <i n="[Sheet1].[Product].&amp;[Just for Her]" c="Just for Her"/>
              <i n="[Sheet1].[Product].&amp;[Just for Men]" c="Just for Men"/>
              <i n="[Sheet1].[Product].&amp;[Kampala Foot Wear]" c="Kampala Foot Wear"/>
              <i n="[Sheet1].[Product].&amp;[Kiddies Wear]" c="Kiddies Wear"/>
              <i n="[Sheet1].[Product].&amp;[Summer Wear]" c="Summer Wear"/>
              <i n="[Sheet1].[Product].&amp;[Women's Beach Wear]" c="Women's Beach Wear"/>
            </range>
          </ranges>
        </level>
      </levels>
      <selections count="1">
        <selection n="[Sheet1].[Product].&amp;[Kampala Foot We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A9BAB4EB-23B3-440F-AF2C-DAFC555753C6}" sourceName="[Sheet1].[Retailer]">
  <data>
    <olap pivotCacheId="1794701577">
      <levels count="2">
        <level uniqueName="[Sheet1].[Retailer].[(All)]" sourceCaption="(All)" count="0"/>
        <level uniqueName="[Sheet1].[Retailer].[Retailer]" sourceCaption="Retailer" count="6">
          <ranges>
            <range startItem="0">
              <i n="[Sheet1].[Retailer].&amp;[Afroque Bonquet]" c="Afroque Bonquet"/>
              <i n="[Sheet1].[Retailer].&amp;[Back2Shape Essentials]" c="Back2Shape Essentials"/>
              <i n="[Sheet1].[Retailer].&amp;[Jabary Needles]" c="Jabary Needles"/>
              <i n="[Sheet1].[Retailer].&amp;[Mariana Stitches]" c="Mariana Stitches"/>
              <i n="[Sheet1].[Retailer].&amp;[Marina Stitches]" c="Marina Stitches"/>
              <i n="[Sheet1].[Retailer].&amp;[Treaz Empire]" c="Treaz Empire"/>
            </range>
          </ranges>
        </level>
      </levels>
      <selections count="1">
        <selection n="[Sheet1].[Retailer].&amp;[Afroque Bonque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E92F4B07-A1E6-4A4D-9FD4-65B991A94427}" sourceName="[Sheet1].[Sales Method]">
  <data>
    <olap pivotCacheId="1794701577">
      <levels count="2">
        <level uniqueName="[Sheet1].[Sales Method].[(All)]" sourceCaption="(All)" count="0"/>
        <level uniqueName="[Sheet1].[Sales Method].[Sales Method]" sourceCaption="Sales Method" count="3">
          <ranges>
            <range startItem="0">
              <i n="[Sheet1].[Sales Method].&amp;[Instore]" c="Instore"/>
              <i n="[Sheet1].[Sales Method].&amp;[Online]" c="Online"/>
              <i n="[Sheet1].[Sales Method].&amp;[Outlet]" c="Outlet"/>
            </range>
          </ranges>
        </level>
      </levels>
      <selections count="1">
        <selection n="[Sheet1].[Sales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82C02F-2B40-44F2-B06D-3F3C1039448E}" sourceName="[Sheet1].[Region]">
  <pivotTables>
    <pivotTable tabId="6" name="PivotTable4"/>
  </pivotTables>
  <data>
    <olap pivotCacheId="1794701577">
      <levels count="2">
        <level uniqueName="[Sheet1].[Region].[(All)]" sourceCaption="(All)" count="0"/>
        <level uniqueName="[Sheet1].[Region].[Region]" sourceCaption="Region" count="5">
          <ranges>
            <range startItem="0">
              <i n="[Sheet1].[Region].&amp;[Central]" c="Central"/>
              <i n="[Sheet1].[Region].&amp;[East]" c="East"/>
              <i n="[Sheet1].[Region].&amp;[North]" c="North"/>
              <i n="[Sheet1].[Region].&amp;[South]" c="South"/>
              <i n="[Sheet1].[Region].&amp;[West]" c="West"/>
            </range>
          </ranges>
        </level>
      </levels>
      <selections count="1">
        <selection n="[Sheet1].[Region].&amp;[Centra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50D3294-5911-4CE6-8684-388A19C51A42}" cache="Slicer_Region" caption="Region"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0CBFEF6-7AA8-4753-B1CF-ED7B8AA2DDDC}" cache="Slicer_Product" caption="Product" level="1" style="Mariana Mall Slicer " rowHeight="251883"/>
  <slicer name="Retailer" xr10:uid="{2382C0DE-37E9-49F7-A611-467258133B37}" cache="Slicer_Retailer" caption="Retailer" level="1" style="Mariana Mall Slicer " rowHeight="251883"/>
  <slicer name="Sales Method" xr10:uid="{C7ABDCDC-B4B2-4A10-A4A2-A2E9AB74BCF8}" cache="Slicer_Sales_Method" caption="Sales Method" startItem="1" level="1" style="Mariana Mall Slicer " rowHeight="251883"/>
  <slicer name="Region 1" xr10:uid="{2B106776-3FBF-4931-83CD-8FB6EEE46C53}" cache="Slicer_Region" caption="Region"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41B0E0-F291-46C6-84DF-CD24E558B5D2}" name="Table_ExternalData_1" displayName="Table_ExternalData_1" ref="A3:K353" tableType="queryTable" totalsRowShown="0">
  <autoFilter ref="A3:K353" xr:uid="{F741B0E0-F291-46C6-84DF-CD24E558B5D2}"/>
  <tableColumns count="11">
    <tableColumn id="1" xr3:uid="{3F9E25AC-DF5F-452F-BE19-9C03810A1531}" uniqueName="1" name="Sheet1[Retailer ID]" queryTableFieldId="1"/>
    <tableColumn id="2" xr3:uid="{9278BEC7-53F7-44BD-8A3F-11947CE10242}" uniqueName="2" name="Sheet1[Retailer]" queryTableFieldId="2"/>
    <tableColumn id="3" xr3:uid="{90738B56-9BA5-4ED4-9A4E-4DD8C2668135}" uniqueName="3" name="Sheet1[Invoice Date]" queryTableFieldId="3" dataDxfId="8"/>
    <tableColumn id="4" xr3:uid="{A8080859-1B80-4ECB-84A6-6F4961226C9F}" uniqueName="4" name="Sheet1[Region]" queryTableFieldId="4"/>
    <tableColumn id="5" xr3:uid="{3268566E-AC50-4F4B-9BEC-A4EAF6568A68}" uniqueName="5" name="Sheet1[State]" queryTableFieldId="5"/>
    <tableColumn id="6" xr3:uid="{7DF0D0D0-BA45-48F8-83AF-8E76CA4CA2B1}" uniqueName="6" name="Sheet1[City]" queryTableFieldId="6"/>
    <tableColumn id="7" xr3:uid="{F27C1ED1-E508-4636-B0B2-E893EE4DBD25}" uniqueName="7" name="Sheet1[Product]" queryTableFieldId="7"/>
    <tableColumn id="8" xr3:uid="{F6B2662D-E6C5-4B95-8C17-ACE5CE83D223}" uniqueName="8" name="Sheet1[Price per Unit]" queryTableFieldId="8"/>
    <tableColumn id="9" xr3:uid="{931FD3B9-B9ED-42D2-95AC-FC0F83A501D2}" uniqueName="9" name="Sheet1[Units Sold]" queryTableFieldId="9"/>
    <tableColumn id="10" xr3:uid="{0D99D386-F7BA-409A-98D1-8AF0CB30B0FA}" uniqueName="10" name="Sheet1[Revenue]" queryTableFieldId="10"/>
    <tableColumn id="11" xr3:uid="{7ED6A140-643B-4E4A-9B22-DF5BDD94B603}" uniqueName="11" name="Sheet1[Sales Metho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01551E-8F8B-44AB-887D-815523B42B72}" name="Sheet1" displayName="Sheet1" ref="A1:K351" tableType="queryTable" totalsRowShown="0">
  <autoFilter ref="A1:K351" xr:uid="{2A01551E-8F8B-44AB-887D-815523B42B72}"/>
  <tableColumns count="11">
    <tableColumn id="1" xr3:uid="{6635607F-D8EC-4669-A3E8-2238655A1238}" uniqueName="1" name="Retailer ID" queryTableFieldId="1" dataDxfId="7"/>
    <tableColumn id="2" xr3:uid="{E5A4601C-42F5-4695-B9BC-4954D274178B}" uniqueName="2" name="Retailer" queryTableFieldId="2" dataDxfId="6"/>
    <tableColumn id="3" xr3:uid="{7E680925-85D2-4E83-A487-8912D1296080}" uniqueName="3" name="Invoice Date" queryTableFieldId="3" dataDxfId="5"/>
    <tableColumn id="4" xr3:uid="{D134C998-34F8-4142-85B4-2573D6E13831}" uniqueName="4" name="Region" queryTableFieldId="4" dataDxfId="4"/>
    <tableColumn id="5" xr3:uid="{6A8280A2-438A-4E77-892F-E6304C427E31}" uniqueName="5" name="State" queryTableFieldId="5" dataDxfId="3"/>
    <tableColumn id="6" xr3:uid="{9A303488-7742-4772-81F9-95D668B53440}" uniqueName="6" name="City" queryTableFieldId="6" dataDxfId="2"/>
    <tableColumn id="7" xr3:uid="{3CA03E61-CDCB-46C6-9826-EC00683625E9}" uniqueName="7" name="Product" queryTableFieldId="7" dataDxfId="1"/>
    <tableColumn id="8" xr3:uid="{4776647C-441D-4248-BCF7-69B1F147B795}" uniqueName="8" name="Price per Unit" queryTableFieldId="8"/>
    <tableColumn id="9" xr3:uid="{B3FF1E89-E3B7-4C87-84A2-1B5797376D34}" uniqueName="9" name="Units Sold" queryTableFieldId="9"/>
    <tableColumn id="10" xr3:uid="{AB9B3490-4741-4F44-A5D7-725B007A61E2}" uniqueName="10" name="Revenue" queryTableFieldId="10"/>
    <tableColumn id="11" xr3:uid="{BB6484D4-67B1-461F-A5AB-8F8259D54613}" uniqueName="11" name="Sales Method" queryTableFieldId="11"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AA9B0-6C53-4A4B-B4AA-B312278C0219}">
  <sheetPr>
    <tabColor theme="8" tint="-0.249977111117893"/>
  </sheetPr>
  <dimension ref="A3:B11"/>
  <sheetViews>
    <sheetView workbookViewId="0">
      <selection activeCell="A3" sqref="A3"/>
    </sheetView>
  </sheetViews>
  <sheetFormatPr defaultRowHeight="14.5" x14ac:dyDescent="0.35"/>
  <cols>
    <col min="1" max="1" width="12.453125" bestFit="1" customWidth="1"/>
    <col min="2" max="2" width="14.36328125" bestFit="1" customWidth="1"/>
  </cols>
  <sheetData>
    <row r="3" spans="1:2" x14ac:dyDescent="0.35">
      <c r="A3" s="2" t="s">
        <v>393</v>
      </c>
      <c r="B3" t="s">
        <v>392</v>
      </c>
    </row>
    <row r="4" spans="1:2" x14ac:dyDescent="0.35">
      <c r="A4" s="3" t="s">
        <v>394</v>
      </c>
      <c r="B4">
        <v>2649814.58</v>
      </c>
    </row>
    <row r="5" spans="1:2" x14ac:dyDescent="0.35">
      <c r="A5" s="3" t="s">
        <v>395</v>
      </c>
      <c r="B5">
        <v>2743231.54</v>
      </c>
    </row>
    <row r="6" spans="1:2" x14ac:dyDescent="0.35">
      <c r="A6" s="3" t="s">
        <v>396</v>
      </c>
      <c r="B6">
        <v>2180099.2599999998</v>
      </c>
    </row>
    <row r="7" spans="1:2" x14ac:dyDescent="0.35">
      <c r="A7" s="3" t="s">
        <v>397</v>
      </c>
      <c r="B7">
        <v>1852936.35</v>
      </c>
    </row>
    <row r="8" spans="1:2" x14ac:dyDescent="0.35">
      <c r="A8" s="3" t="s">
        <v>398</v>
      </c>
      <c r="B8">
        <v>1929865.17</v>
      </c>
    </row>
    <row r="9" spans="1:2" x14ac:dyDescent="0.35">
      <c r="A9" s="3" t="s">
        <v>399</v>
      </c>
      <c r="B9">
        <v>1821940.71</v>
      </c>
    </row>
    <row r="10" spans="1:2" x14ac:dyDescent="0.35">
      <c r="A10" s="3" t="s">
        <v>400</v>
      </c>
      <c r="B10">
        <v>1299448.52</v>
      </c>
    </row>
    <row r="11" spans="1:2" x14ac:dyDescent="0.35">
      <c r="A11" s="3" t="s">
        <v>401</v>
      </c>
      <c r="B11">
        <v>14477336.130000001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E391-2277-4427-A889-48E2C52B207E}">
  <sheetPr>
    <tabColor rgb="FF00B0F0"/>
  </sheetPr>
  <dimension ref="A3:B10"/>
  <sheetViews>
    <sheetView workbookViewId="0">
      <selection activeCell="A3" sqref="A3"/>
    </sheetView>
  </sheetViews>
  <sheetFormatPr defaultRowHeight="14.5" x14ac:dyDescent="0.35"/>
  <cols>
    <col min="1" max="1" width="19.6328125" bestFit="1" customWidth="1"/>
    <col min="2" max="2" width="14.36328125" bestFit="1" customWidth="1"/>
  </cols>
  <sheetData>
    <row r="3" spans="1:2" x14ac:dyDescent="0.35">
      <c r="A3" s="2" t="s">
        <v>393</v>
      </c>
      <c r="B3" t="s">
        <v>392</v>
      </c>
    </row>
    <row r="4" spans="1:2" x14ac:dyDescent="0.35">
      <c r="A4" s="3" t="s">
        <v>33</v>
      </c>
      <c r="B4">
        <v>2718736.7</v>
      </c>
    </row>
    <row r="5" spans="1:2" x14ac:dyDescent="0.35">
      <c r="A5" s="3" t="s">
        <v>39</v>
      </c>
      <c r="B5">
        <v>3160570.3</v>
      </c>
    </row>
    <row r="6" spans="1:2" x14ac:dyDescent="0.35">
      <c r="A6" s="3" t="s">
        <v>26</v>
      </c>
      <c r="B6">
        <v>2948462.72</v>
      </c>
    </row>
    <row r="7" spans="1:2" x14ac:dyDescent="0.35">
      <c r="A7" s="3" t="s">
        <v>12</v>
      </c>
      <c r="B7">
        <v>2744133.24</v>
      </c>
    </row>
    <row r="8" spans="1:2" x14ac:dyDescent="0.35">
      <c r="A8" s="3" t="s">
        <v>434</v>
      </c>
      <c r="B8">
        <v>10668.57</v>
      </c>
    </row>
    <row r="9" spans="1:2" x14ac:dyDescent="0.35">
      <c r="A9" s="3" t="s">
        <v>19</v>
      </c>
      <c r="B9">
        <v>2894764.6</v>
      </c>
    </row>
    <row r="10" spans="1:2" x14ac:dyDescent="0.35">
      <c r="A10" s="3" t="s">
        <v>401</v>
      </c>
      <c r="B10">
        <v>14477336.130000001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F156-451D-4AB5-B61D-911D06F1589E}">
  <sheetPr>
    <tabColor theme="9" tint="-0.499984740745262"/>
  </sheetPr>
  <dimension ref="A3:B7"/>
  <sheetViews>
    <sheetView workbookViewId="0">
      <selection activeCell="A3" sqref="A3"/>
    </sheetView>
  </sheetViews>
  <sheetFormatPr defaultRowHeight="14.5" x14ac:dyDescent="0.35"/>
  <cols>
    <col min="1" max="1" width="12.453125" bestFit="1" customWidth="1"/>
    <col min="2" max="2" width="14.36328125" bestFit="1" customWidth="1"/>
  </cols>
  <sheetData>
    <row r="3" spans="1:2" x14ac:dyDescent="0.35">
      <c r="A3" s="2" t="s">
        <v>393</v>
      </c>
      <c r="B3" t="s">
        <v>392</v>
      </c>
    </row>
    <row r="4" spans="1:2" x14ac:dyDescent="0.35">
      <c r="A4" s="3" t="s">
        <v>17</v>
      </c>
      <c r="B4">
        <v>5187934.18</v>
      </c>
    </row>
    <row r="5" spans="1:2" x14ac:dyDescent="0.35">
      <c r="A5" s="3" t="s">
        <v>31</v>
      </c>
      <c r="B5">
        <v>4493488.6100000003</v>
      </c>
    </row>
    <row r="6" spans="1:2" x14ac:dyDescent="0.35">
      <c r="A6" s="3" t="s">
        <v>24</v>
      </c>
      <c r="B6">
        <v>4795913.34</v>
      </c>
    </row>
    <row r="7" spans="1:2" x14ac:dyDescent="0.35">
      <c r="A7" s="3" t="s">
        <v>401</v>
      </c>
      <c r="B7">
        <v>14477336.130000001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F0CB5-6033-4AFD-AB4D-7EBE463C9B57}">
  <sheetPr>
    <tabColor theme="5" tint="-0.499984740745262"/>
  </sheetPr>
  <dimension ref="A3:U22"/>
  <sheetViews>
    <sheetView topLeftCell="S1" workbookViewId="0">
      <selection activeCell="C10" sqref="C10"/>
    </sheetView>
  </sheetViews>
  <sheetFormatPr defaultRowHeight="14.5" x14ac:dyDescent="0.35"/>
  <cols>
    <col min="1" max="1" width="14.36328125" bestFit="1" customWidth="1"/>
    <col min="2" max="2" width="15.6328125" bestFit="1" customWidth="1"/>
    <col min="3" max="3" width="10.6328125" bestFit="1" customWidth="1"/>
    <col min="4" max="4" width="17" bestFit="1" customWidth="1"/>
    <col min="5" max="5" width="11.7265625" bestFit="1" customWidth="1"/>
    <col min="6" max="6" width="12.54296875" bestFit="1" customWidth="1"/>
    <col min="7" max="7" width="18.90625" bestFit="1" customWidth="1"/>
    <col min="8" max="8" width="10.81640625" bestFit="1" customWidth="1"/>
    <col min="17" max="17" width="10.81640625" bestFit="1" customWidth="1"/>
    <col min="18" max="19" width="10.81640625" customWidth="1"/>
  </cols>
  <sheetData>
    <row r="3" spans="1:21" x14ac:dyDescent="0.35">
      <c r="A3" s="2" t="s">
        <v>392</v>
      </c>
      <c r="B3" s="2" t="s">
        <v>402</v>
      </c>
    </row>
    <row r="4" spans="1:21" x14ac:dyDescent="0.35">
      <c r="A4" s="2" t="s">
        <v>393</v>
      </c>
      <c r="B4" t="s">
        <v>30</v>
      </c>
      <c r="C4" t="s">
        <v>16</v>
      </c>
      <c r="D4" t="s">
        <v>44</v>
      </c>
      <c r="E4" t="s">
        <v>23</v>
      </c>
      <c r="F4" t="s">
        <v>37</v>
      </c>
      <c r="G4" t="s">
        <v>50</v>
      </c>
      <c r="H4" t="s">
        <v>401</v>
      </c>
      <c r="L4" cm="1">
        <f t="array" ref="L4">MAX(K5:K8*1.25)</f>
        <v>523414.02499999997</v>
      </c>
      <c r="O4" cm="1">
        <f t="array" ref="O4">MAX(N5:N9*1.25)</f>
        <v>572601.47499999998</v>
      </c>
      <c r="R4" cm="1">
        <f t="array" ref="R4">MAX(Q5:Q9*1.25)</f>
        <v>1035742.0375</v>
      </c>
      <c r="U4" cm="1">
        <f t="array" ref="U4">MAX(T5:T9*1.25)</f>
        <v>38581.9</v>
      </c>
    </row>
    <row r="5" spans="1:21" x14ac:dyDescent="0.35">
      <c r="A5" s="3" t="s">
        <v>40</v>
      </c>
      <c r="B5" s="10">
        <v>993279.4</v>
      </c>
      <c r="C5" s="10">
        <v>88482.61</v>
      </c>
      <c r="D5" s="10">
        <v>418731.22</v>
      </c>
      <c r="E5" s="10">
        <v>458081.18</v>
      </c>
      <c r="F5" s="10">
        <v>828593.63</v>
      </c>
      <c r="G5" s="10">
        <v>30865.52</v>
      </c>
      <c r="H5" s="10">
        <v>2818033.56</v>
      </c>
      <c r="K5">
        <f>IFERROR(GETPIVOTDATA("[Measures].[Sum of Revenue]",$A$3,"[Sheet1].[Region]","[Sheet1].[Region].&amp;[Central]","[Sheet1].[Product]","[Sheet1].[Product].&amp;[Kampala Foot Wear]"),0)</f>
        <v>418731.22</v>
      </c>
      <c r="L5">
        <f>L$4-K5</f>
        <v>104682.80499999999</v>
      </c>
      <c r="N5">
        <f>IFERROR(GETPIVOTDATA("[Measures].[Sum of Revenue]",$A$3,"[Sheet1].[Region]","[Sheet1].[Region].&amp;[Central]","[Sheet1].[Product]","[Sheet1].[Product].&amp;[Kiddies Wear]"),0)</f>
        <v>458081.18</v>
      </c>
      <c r="O5">
        <f>O$4-N5</f>
        <v>114520.29499999998</v>
      </c>
      <c r="Q5">
        <f>IFERROR(GETPIVOTDATA("[Measures].[Sum of Revenue]",$A$3,"[Sheet1].[Region]","[Sheet1].[Region].&amp;[Central]","[Sheet1].[Product]","[Sheet1].[Product].&amp;[Summer Wear]"),0)</f>
        <v>828593.63</v>
      </c>
      <c r="R5">
        <f>R$4-Q6</f>
        <v>1035742.0375</v>
      </c>
      <c r="T5">
        <f>IFERROR(GETPIVOTDATA("[Measures].[Sum of Revenue]",$A$3,"[Sheet1].[Region]","[Sheet1].[Region].&amp;[Central]","[Sheet1].[Product]","[Sheet1].[Product].&amp;[Women's Beach Wear]"),0)</f>
        <v>30865.52</v>
      </c>
      <c r="U5">
        <f>U$4-T5</f>
        <v>7716.380000000001</v>
      </c>
    </row>
    <row r="6" spans="1:21" x14ac:dyDescent="0.35">
      <c r="A6" s="3" t="s">
        <v>401</v>
      </c>
      <c r="B6" s="10">
        <v>993279.4</v>
      </c>
      <c r="C6" s="10">
        <v>88482.61</v>
      </c>
      <c r="D6" s="10">
        <v>418731.22</v>
      </c>
      <c r="E6" s="10">
        <v>458081.18</v>
      </c>
      <c r="F6" s="10">
        <v>828593.63</v>
      </c>
      <c r="G6" s="10">
        <v>30865.52</v>
      </c>
      <c r="H6" s="10">
        <v>2818033.56</v>
      </c>
      <c r="K6">
        <f>IFERROR(GETPIVOTDATA("[Measures].[Sum of Revenue]",$A$3,"[Sheet1].[Region]","[Sheet1].[Region].&amp;[East]","[Sheet1].[Product]","[Sheet1].[Product].&amp;[Kampala Foot Wear]"),0)</f>
        <v>0</v>
      </c>
      <c r="L6">
        <f t="shared" ref="L6:L9" si="0">L$4-K6</f>
        <v>523414.02499999997</v>
      </c>
      <c r="N6">
        <f>IFERROR(GETPIVOTDATA("[Measures].[Sum of Revenue]",$A$3,"[Sheet1].[Region]","[Sheet1].[Region].&amp;[East]","[Sheet1].[Product]","[Sheet1].[Product].&amp;[Kiddies Wear]"),0)</f>
        <v>0</v>
      </c>
      <c r="O6">
        <f t="shared" ref="O6:O9" si="1">O$4-N6</f>
        <v>572601.47499999998</v>
      </c>
      <c r="Q6">
        <f>IFERROR(GETPIVOTDATA("[Measures].[Sum of Revenue]",$A$3,"[Sheet1].[Region]","[Sheet1].[Region].&amp;[East]","[Sheet1].[Product]","[Sheet1].[Product].&amp;[Summer Wear]"),0)</f>
        <v>0</v>
      </c>
      <c r="R6">
        <f t="shared" ref="R6:R9" si="2">R$4-Q7</f>
        <v>1035742.0375</v>
      </c>
      <c r="T6">
        <f>IFERROR(GETPIVOTDATA("[Measures].[Sum of Revenue]",$A$3,"[Sheet1].[Region]","[Sheet1].[Region].&amp;[East]","[Sheet1].[Product]","[Sheet1].[Product].&amp;[Women's Beach Wear]"),0)</f>
        <v>0</v>
      </c>
      <c r="U6">
        <f t="shared" ref="U6:U9" si="3">U$4-T6</f>
        <v>38581.9</v>
      </c>
    </row>
    <row r="7" spans="1:21" x14ac:dyDescent="0.35">
      <c r="K7">
        <f>IFERROR(GETPIVOTDATA("[Measures].[Sum of Revenue]",$A$3,"[Sheet1].[Region]","[Sheet1].[Region].&amp;[North]","[Sheet1].[Product]","[Sheet1].[Product].&amp;[Kampala Foot Wear]"),0)</f>
        <v>0</v>
      </c>
      <c r="L7">
        <f t="shared" si="0"/>
        <v>523414.02499999997</v>
      </c>
      <c r="N7">
        <f>IFERROR(GETPIVOTDATA("[Measures].[Sum of Revenue]",$A$3,"[Sheet1].[Region]","[Sheet1].[Region].&amp;[North]","[Sheet1].[Product]","[Sheet1].[Product].&amp;[Kiddies Wear]"),0)</f>
        <v>0</v>
      </c>
      <c r="O7">
        <f t="shared" si="1"/>
        <v>572601.47499999998</v>
      </c>
      <c r="Q7">
        <f>IFERROR(GETPIVOTDATA("[Measures].[Sum of Revenue]",$A$3,"[Sheet1].[Region]","[Sheet1].[Region].&amp;[North]","[Sheet1].[Product]","[Sheet1].[Product].&amp;[Summer Wear]"),0)</f>
        <v>0</v>
      </c>
      <c r="R7">
        <f t="shared" si="2"/>
        <v>1035742.0375</v>
      </c>
      <c r="T7">
        <f>IFERROR(GETPIVOTDATA("[Measures].[Sum of Revenue]",$A$3,"[Sheet1].[Region]","[Sheet1].[Region].&amp;[North]","[Sheet1].[Product]","[Sheet1].[Product].&amp;[Women's Beach Wear]"),0)</f>
        <v>0</v>
      </c>
      <c r="U7">
        <f t="shared" si="3"/>
        <v>38581.9</v>
      </c>
    </row>
    <row r="8" spans="1:21" x14ac:dyDescent="0.35">
      <c r="K8">
        <f>IFERROR(GETPIVOTDATA("[Measures].[Sum of Revenue]",$A$3,"[Sheet1].[Region]","[Sheet1].[Region].&amp;[South]","[Sheet1].[Product]","[Sheet1].[Product].&amp;[Kampala Foot Wear]"),0)</f>
        <v>0</v>
      </c>
      <c r="L8">
        <f t="shared" si="0"/>
        <v>523414.02499999997</v>
      </c>
      <c r="N8">
        <f>IFERROR(GETPIVOTDATA("[Measures].[Sum of Revenue]",$A$3,"[Sheet1].[Region]","[Sheet1].[Region].&amp;[South]","[Sheet1].[Product]","[Sheet1].[Product].&amp;[Kiddies Wear]"),0)</f>
        <v>0</v>
      </c>
      <c r="O8">
        <f t="shared" si="1"/>
        <v>572601.47499999998</v>
      </c>
      <c r="Q8">
        <f>IFERROR(GETPIVOTDATA("[Measures].[Sum of Revenue]",$A$3,"[Sheet1].[Region]","[Sheet1].[Region].&amp;[South]","[Sheet1].[Product]","[Sheet1].[Product].&amp;[Summer Wear]"),0)</f>
        <v>0</v>
      </c>
      <c r="R8">
        <f t="shared" si="2"/>
        <v>1035742.0375</v>
      </c>
      <c r="T8">
        <f>IFERROR(GETPIVOTDATA("[Measures].[Sum of Revenue]",$A$3,"[Sheet1].[Region]","[Sheet1].[Region].&amp;[South]","[Sheet1].[Product]","[Sheet1].[Product].&amp;[Women's Beach Wear]"),0)</f>
        <v>0</v>
      </c>
      <c r="U8">
        <f t="shared" si="3"/>
        <v>38581.9</v>
      </c>
    </row>
    <row r="9" spans="1:21" x14ac:dyDescent="0.35">
      <c r="K9">
        <f>IFERROR(GETPIVOTDATA("[Measures].[Sum of Revenue]",$A$3,"[Sheet1].[Region]","[Sheet1].[Region].&amp;[West]","[Sheet1].[Product]","[Sheet1].[Product].&amp;[Kampala Foot Wear]"),0)</f>
        <v>0</v>
      </c>
      <c r="L9">
        <f t="shared" si="0"/>
        <v>523414.02499999997</v>
      </c>
      <c r="N9">
        <f>IFERROR(GETPIVOTDATA("[Measures].[Sum of Revenue]",$A$3,"[Sheet1].[Region]","[Sheet1].[Region].&amp;[West]","[Sheet1].[Product]","[Sheet1].[Product].&amp;[Kiddies Wear]"),0)</f>
        <v>0</v>
      </c>
      <c r="O9">
        <f t="shared" si="1"/>
        <v>572601.47499999998</v>
      </c>
      <c r="Q9">
        <f>IFERROR(GETPIVOTDATA("[Measures].[Sum of Revenue]",$A$3,"[Sheet1].[Region]","[Sheet1].[Region].&amp;[West]","[Sheet1].[Product]","[Sheet1].[Product].&amp;[Summer Wear]"),0)</f>
        <v>0</v>
      </c>
      <c r="R9">
        <f t="shared" si="2"/>
        <v>1035742.0375</v>
      </c>
      <c r="T9">
        <f>IFERROR(GETPIVOTDATA("[Measures].[Sum of Revenue]",$A$3,"[Sheet1].[Region]","[Sheet1].[Region].&amp;[West]","[Sheet1].[Product]","[Sheet1].[Product].&amp;[Women's Beach Wear]"),0)</f>
        <v>0</v>
      </c>
      <c r="U9">
        <f t="shared" si="3"/>
        <v>38581.9</v>
      </c>
    </row>
    <row r="15" spans="1:21" x14ac:dyDescent="0.35">
      <c r="B15">
        <f>IFERROR(GETPIVOTDATA("[Measures].[Sum of Revenue]",$A$3,"[Sheet1].[Product]","[Sheet1].[Product].&amp;[Just for Her]"),0)</f>
        <v>993279.4</v>
      </c>
      <c r="C15">
        <f>IFERROR(GETPIVOTDATA("[Measures].[Sum of Revenue]",$A$3,"[Sheet1].[Product]","[Sheet1].[Product].&amp;[Just for Men]"),0)</f>
        <v>88482.61</v>
      </c>
      <c r="D15">
        <f>IFERROR(GETPIVOTDATA("[Measures].[Sum of Revenue]",$A$3,"[Sheet1].[Product]","[Sheet1].[Product].&amp;[Kampala Foot Wear]"),)</f>
        <v>418731.22</v>
      </c>
      <c r="E15">
        <f>IFERROR(GETPIVOTDATA("[Measures].[Sum of Revenue]",$A$3,"[Sheet1].[Product]","[Sheet1].[Product].&amp;[Kiddies Wear]"),0)</f>
        <v>458081.18</v>
      </c>
      <c r="F15">
        <f>IFERROR(GETPIVOTDATA("[Measures].[Sum of Revenue]",$A$3,"[Sheet1].[Product]","[Sheet1].[Product].&amp;[Summer Wear]"),0)</f>
        <v>828593.63</v>
      </c>
      <c r="G15">
        <f>IFERROR(GETPIVOTDATA("[Measures].[Sum of Revenue]",$A$3,"[Sheet1].[Product]","[Sheet1].[Product].&amp;[Women's Beach Wear]"),0)</f>
        <v>30865.52</v>
      </c>
      <c r="H15">
        <f>IFERROR(GETPIVOTDATA("[Measures].[Sum of Revenue]",$A$3),0)</f>
        <v>2818033.56</v>
      </c>
    </row>
    <row r="18" spans="6:7" x14ac:dyDescent="0.35">
      <c r="F18">
        <f>IFERROR(GETPIVOTDATA("[Measures].[Sum of Revenue]",$A$3,"[Sheet1].[Region]","[Sheet1].[Region].&amp;[Central]","[Sheet1].[Product]","[Sheet1].[Product].&amp;[Summer Wear]"),0)</f>
        <v>828593.63</v>
      </c>
      <c r="G18">
        <f>IFERROR(GETPIVOTDATA("[Measures].[Sum of Revenue]",$A$3,"[Sheet1].[Region]","[Sheet1].[Region].&amp;[Central]","[Sheet1].[Product]","[Sheet1].[Product].&amp;[Women's Beach Wear]"),0)</f>
        <v>30865.52</v>
      </c>
    </row>
    <row r="19" spans="6:7" x14ac:dyDescent="0.35">
      <c r="F19">
        <f>IFERROR(GETPIVOTDATA("[Measures].[Sum of Revenue]",$A$3,"[Sheet1].[Region]","[Sheet1].[Region].&amp;[East]","[Sheet1].[Product]","[Sheet1].[Product].&amp;[Summer Wear]"),0)</f>
        <v>0</v>
      </c>
      <c r="G19">
        <f>IFERROR(GETPIVOTDATA("[Measures].[Sum of Revenue]",$A$3,"[Sheet1].[Region]","[Sheet1].[Region].&amp;[East]","[Sheet1].[Product]","[Sheet1].[Product].&amp;[Women's Beach Wear]"),0)</f>
        <v>0</v>
      </c>
    </row>
    <row r="20" spans="6:7" x14ac:dyDescent="0.35">
      <c r="F20">
        <f>IFERROR(GETPIVOTDATA("[Measures].[Sum of Revenue]",$A$3,"[Sheet1].[Region]","[Sheet1].[Region].&amp;[North]","[Sheet1].[Product]","[Sheet1].[Product].&amp;[Summer Wear]"),0)</f>
        <v>0</v>
      </c>
      <c r="G20">
        <f>IFERROR(GETPIVOTDATA("[Measures].[Sum of Revenue]",$A$3,"[Sheet1].[Region]","[Sheet1].[Region].&amp;[North]","[Sheet1].[Product]","[Sheet1].[Product].&amp;[Women's Beach Wear]"),0)</f>
        <v>0</v>
      </c>
    </row>
    <row r="21" spans="6:7" x14ac:dyDescent="0.35">
      <c r="F21">
        <f>IFERROR(GETPIVOTDATA("[Measures].[Sum of Revenue]",$A$3,"[Sheet1].[Region]","[Sheet1].[Region].&amp;[South]","[Sheet1].[Product]","[Sheet1].[Product].&amp;[Summer Wear]"),0)</f>
        <v>0</v>
      </c>
      <c r="G21">
        <f>IFERROR(GETPIVOTDATA("[Measures].[Sum of Revenue]",$A$3,"[Sheet1].[Region]","[Sheet1].[Region].&amp;[South]","[Sheet1].[Product]","[Sheet1].[Product].&amp;[Women's Beach Wear]"),0)</f>
        <v>0</v>
      </c>
    </row>
    <row r="22" spans="6:7" x14ac:dyDescent="0.35">
      <c r="F22">
        <f>IFERROR(GETPIVOTDATA("[Measures].[Sum of Revenue]",$A$3,"[Sheet1].[Region]","[Sheet1].[Region].&amp;[West]","[Sheet1].[Product]","[Sheet1].[Product].&amp;[Summer Wear]"),0)</f>
        <v>0</v>
      </c>
      <c r="G22">
        <f>IFERROR(GETPIVOTDATA("[Measures].[Sum of Revenue]",$A$3,"[Sheet1].[Region]","[Sheet1].[Region].&amp;[West]","[Sheet1].[Product]","[Sheet1].[Product].&amp;[Women's Beach Wear]"),0)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E889B-62E9-4826-9686-DF23B2B95CDD}">
  <sheetPr>
    <tabColor theme="4" tint="-0.499984740745262"/>
  </sheetPr>
  <dimension ref="A3:D17"/>
  <sheetViews>
    <sheetView workbookViewId="0">
      <selection activeCell="A3" sqref="A3"/>
    </sheetView>
  </sheetViews>
  <sheetFormatPr defaultRowHeight="14.5" x14ac:dyDescent="0.35"/>
  <cols>
    <col min="1" max="1" width="14.36328125" bestFit="1" customWidth="1"/>
    <col min="2" max="2" width="15.6328125" bestFit="1" customWidth="1"/>
    <col min="3" max="3" width="10.81640625" bestFit="1" customWidth="1"/>
    <col min="4" max="4" width="11.81640625" bestFit="1" customWidth="1"/>
  </cols>
  <sheetData>
    <row r="3" spans="1:4" x14ac:dyDescent="0.35">
      <c r="A3" s="2" t="s">
        <v>392</v>
      </c>
      <c r="B3" s="2" t="s">
        <v>402</v>
      </c>
    </row>
    <row r="4" spans="1:4" x14ac:dyDescent="0.35">
      <c r="A4" s="2" t="s">
        <v>393</v>
      </c>
      <c r="B4">
        <v>2022</v>
      </c>
      <c r="C4">
        <v>2023</v>
      </c>
      <c r="D4" t="s">
        <v>401</v>
      </c>
    </row>
    <row r="5" spans="1:4" x14ac:dyDescent="0.35">
      <c r="A5" s="3" t="s">
        <v>403</v>
      </c>
      <c r="B5">
        <v>500857.06</v>
      </c>
      <c r="C5">
        <v>3352772.81</v>
      </c>
      <c r="D5">
        <v>3853629.87</v>
      </c>
    </row>
    <row r="6" spans="1:4" x14ac:dyDescent="0.35">
      <c r="A6" s="3" t="s">
        <v>404</v>
      </c>
      <c r="B6">
        <v>355332.98</v>
      </c>
      <c r="C6">
        <v>2783604.26</v>
      </c>
      <c r="D6">
        <v>3138937.24</v>
      </c>
    </row>
    <row r="7" spans="1:4" x14ac:dyDescent="0.35">
      <c r="A7" s="3" t="s">
        <v>405</v>
      </c>
      <c r="B7">
        <v>211122.75</v>
      </c>
      <c r="C7">
        <v>3158922.36</v>
      </c>
      <c r="D7">
        <v>3370045.11</v>
      </c>
    </row>
    <row r="8" spans="1:4" x14ac:dyDescent="0.35">
      <c r="A8" s="3" t="s">
        <v>406</v>
      </c>
      <c r="B8">
        <v>388658.59</v>
      </c>
      <c r="D8">
        <v>388658.59</v>
      </c>
    </row>
    <row r="9" spans="1:4" x14ac:dyDescent="0.35">
      <c r="A9" s="3" t="s">
        <v>407</v>
      </c>
      <c r="B9">
        <v>543580.25</v>
      </c>
      <c r="D9">
        <v>543580.25</v>
      </c>
    </row>
    <row r="10" spans="1:4" x14ac:dyDescent="0.35">
      <c r="A10" s="3" t="s">
        <v>408</v>
      </c>
      <c r="B10">
        <v>389902.3</v>
      </c>
      <c r="D10">
        <v>389902.3</v>
      </c>
    </row>
    <row r="11" spans="1:4" x14ac:dyDescent="0.35">
      <c r="A11" s="3" t="s">
        <v>409</v>
      </c>
      <c r="B11">
        <v>354920.73</v>
      </c>
      <c r="D11">
        <v>354920.73</v>
      </c>
    </row>
    <row r="12" spans="1:4" x14ac:dyDescent="0.35">
      <c r="A12" s="3" t="s">
        <v>410</v>
      </c>
      <c r="B12">
        <v>491470.94</v>
      </c>
      <c r="D12">
        <v>491470.94</v>
      </c>
    </row>
    <row r="13" spans="1:4" x14ac:dyDescent="0.35">
      <c r="A13" s="3" t="s">
        <v>411</v>
      </c>
      <c r="B13">
        <v>473680.48</v>
      </c>
      <c r="D13">
        <v>473680.48</v>
      </c>
    </row>
    <row r="14" spans="1:4" x14ac:dyDescent="0.35">
      <c r="A14" s="3" t="s">
        <v>412</v>
      </c>
      <c r="B14">
        <v>466307.38</v>
      </c>
      <c r="D14">
        <v>466307.38</v>
      </c>
    </row>
    <row r="15" spans="1:4" x14ac:dyDescent="0.35">
      <c r="A15" s="3" t="s">
        <v>413</v>
      </c>
      <c r="B15">
        <v>649790.19999999995</v>
      </c>
      <c r="D15">
        <v>649790.19999999995</v>
      </c>
    </row>
    <row r="16" spans="1:4" x14ac:dyDescent="0.35">
      <c r="A16" s="3" t="s">
        <v>414</v>
      </c>
      <c r="B16">
        <v>356413.04</v>
      </c>
      <c r="D16">
        <v>356413.04</v>
      </c>
    </row>
    <row r="17" spans="1:4" x14ac:dyDescent="0.35">
      <c r="A17" s="3" t="s">
        <v>401</v>
      </c>
      <c r="B17">
        <v>5182036.7</v>
      </c>
      <c r="C17">
        <v>9295299.4299999997</v>
      </c>
      <c r="D17">
        <v>14477336.130000001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ED5EA-D5BF-403E-9D79-8F89E65BFBDD}">
  <sheetPr>
    <tabColor theme="7"/>
  </sheetPr>
  <dimension ref="A2:J6"/>
  <sheetViews>
    <sheetView topLeftCell="B1" workbookViewId="0">
      <selection activeCell="M6" sqref="M6"/>
    </sheetView>
  </sheetViews>
  <sheetFormatPr defaultRowHeight="14.5" x14ac:dyDescent="0.35"/>
  <cols>
    <col min="1" max="1" width="12.453125" bestFit="1" customWidth="1"/>
    <col min="2" max="2" width="14.36328125" bestFit="1" customWidth="1"/>
    <col min="3" max="3" width="24.1796875" bestFit="1" customWidth="1"/>
    <col min="7" max="7" width="13.08984375" customWidth="1"/>
  </cols>
  <sheetData>
    <row r="2" spans="1:10" x14ac:dyDescent="0.35">
      <c r="G2">
        <f>MAX(F3:F4)*1.25</f>
        <v>11619124.2875</v>
      </c>
    </row>
    <row r="3" spans="1:10" x14ac:dyDescent="0.35">
      <c r="A3" s="2" t="s">
        <v>393</v>
      </c>
      <c r="B3" t="s">
        <v>392</v>
      </c>
      <c r="C3" t="s">
        <v>415</v>
      </c>
      <c r="F3">
        <f>IFERROR(GETPIVOTDATA("[Measures].[Sum of Revenue]",$A$3,"[Calendar].[Year]","[Calendar].[Year].&amp;[2022]"),0)</f>
        <v>5182036.7</v>
      </c>
      <c r="G3">
        <f>G$2-F3</f>
        <v>6437087.5874999994</v>
      </c>
      <c r="I3">
        <v>2022</v>
      </c>
      <c r="J3" s="5">
        <f>GETPIVOTDATA("[Measures].[Percentage of Year Revenue]",$A$3,"[Calendar].[Year]","[Calendar].[Year].&amp;[2022]")</f>
        <v>0.35794131278486796</v>
      </c>
    </row>
    <row r="4" spans="1:10" x14ac:dyDescent="0.35">
      <c r="A4" s="3">
        <v>2022</v>
      </c>
      <c r="B4">
        <v>5182036.7</v>
      </c>
      <c r="C4" s="4">
        <v>0.35794131278486796</v>
      </c>
      <c r="F4">
        <f>IFERROR(GETPIVOTDATA("[Measures].[Sum of Revenue]",$A$3,"[Calendar].[Year]","[Calendar].[Year].&amp;[2023]"),0)</f>
        <v>9295299.4299999997</v>
      </c>
      <c r="G4">
        <f>G$2-F4</f>
        <v>2323824.8574999999</v>
      </c>
      <c r="I4">
        <v>2023</v>
      </c>
      <c r="J4" s="5">
        <f>GETPIVOTDATA("[Measures].[Percentage of Year Revenue]",$A$3,"[Calendar].[Year]","[Calendar].[Year].&amp;[2023]")</f>
        <v>0.64205868721513193</v>
      </c>
    </row>
    <row r="5" spans="1:10" x14ac:dyDescent="0.35">
      <c r="A5" s="3">
        <v>2023</v>
      </c>
      <c r="B5">
        <v>9295299.4299999997</v>
      </c>
      <c r="C5" s="4">
        <v>0.64205868721513193</v>
      </c>
    </row>
    <row r="6" spans="1:10" x14ac:dyDescent="0.35">
      <c r="A6" s="3" t="s">
        <v>401</v>
      </c>
      <c r="B6">
        <v>14477336.130000001</v>
      </c>
      <c r="C6" s="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A52F7-113A-4A36-B933-F693626B375A}">
  <dimension ref="A1:K353"/>
  <sheetViews>
    <sheetView workbookViewId="0"/>
  </sheetViews>
  <sheetFormatPr defaultRowHeight="14.5" x14ac:dyDescent="0.35"/>
  <cols>
    <col min="1" max="1" width="19" bestFit="1" customWidth="1"/>
    <col min="2" max="2" width="19.6328125" bestFit="1" customWidth="1"/>
    <col min="3" max="3" width="20.7265625" bestFit="1" customWidth="1"/>
    <col min="4" max="4" width="16" bestFit="1" customWidth="1"/>
    <col min="5" max="5" width="14.54296875" bestFit="1" customWidth="1"/>
    <col min="6" max="6" width="13.54296875" bestFit="1" customWidth="1"/>
    <col min="7" max="7" width="18.54296875" bestFit="1" customWidth="1"/>
    <col min="8" max="8" width="21.6328125" bestFit="1" customWidth="1"/>
    <col min="9" max="9" width="18.81640625" bestFit="1" customWidth="1"/>
    <col min="10" max="10" width="17.54296875" bestFit="1" customWidth="1"/>
    <col min="11" max="11" width="21.54296875" bestFit="1" customWidth="1"/>
  </cols>
  <sheetData>
    <row r="1" spans="1:11" x14ac:dyDescent="0.35">
      <c r="A1" s="9" t="s">
        <v>432</v>
      </c>
    </row>
    <row r="3" spans="1:11" x14ac:dyDescent="0.35">
      <c r="A3" t="s">
        <v>421</v>
      </c>
      <c r="B3" t="s">
        <v>422</v>
      </c>
      <c r="C3" t="s">
        <v>423</v>
      </c>
      <c r="D3" t="s">
        <v>424</v>
      </c>
      <c r="E3" t="s">
        <v>425</v>
      </c>
      <c r="F3" t="s">
        <v>426</v>
      </c>
      <c r="G3" t="s">
        <v>427</v>
      </c>
      <c r="H3" t="s">
        <v>428</v>
      </c>
      <c r="I3" t="s">
        <v>429</v>
      </c>
      <c r="J3" t="s">
        <v>430</v>
      </c>
      <c r="K3" t="s">
        <v>431</v>
      </c>
    </row>
    <row r="4" spans="1:11" x14ac:dyDescent="0.35">
      <c r="A4" t="s">
        <v>11</v>
      </c>
      <c r="B4" t="s">
        <v>12</v>
      </c>
      <c r="C4" s="1">
        <v>44793</v>
      </c>
      <c r="D4" t="s">
        <v>13</v>
      </c>
      <c r="E4" t="s">
        <v>14</v>
      </c>
      <c r="F4" t="s">
        <v>15</v>
      </c>
      <c r="G4" t="s">
        <v>16</v>
      </c>
      <c r="H4">
        <v>29.39</v>
      </c>
      <c r="I4">
        <v>363</v>
      </c>
      <c r="J4">
        <v>10668.57</v>
      </c>
      <c r="K4" t="s">
        <v>17</v>
      </c>
    </row>
    <row r="5" spans="1:11" x14ac:dyDescent="0.35">
      <c r="A5" t="s">
        <v>18</v>
      </c>
      <c r="B5" t="s">
        <v>19</v>
      </c>
      <c r="C5" s="1">
        <v>44595</v>
      </c>
      <c r="D5" t="s">
        <v>20</v>
      </c>
      <c r="E5" t="s">
        <v>21</v>
      </c>
      <c r="F5" t="s">
        <v>22</v>
      </c>
      <c r="G5" t="s">
        <v>23</v>
      </c>
      <c r="H5">
        <v>59.94</v>
      </c>
      <c r="I5">
        <v>819</v>
      </c>
      <c r="J5">
        <v>49090.86</v>
      </c>
      <c r="K5" t="s">
        <v>24</v>
      </c>
    </row>
    <row r="6" spans="1:11" x14ac:dyDescent="0.35">
      <c r="A6" t="s">
        <v>25</v>
      </c>
      <c r="B6" t="s">
        <v>26</v>
      </c>
      <c r="C6" s="1">
        <v>44849</v>
      </c>
      <c r="D6" t="s">
        <v>27</v>
      </c>
      <c r="E6" t="s">
        <v>28</v>
      </c>
      <c r="F6" t="s">
        <v>29</v>
      </c>
      <c r="G6" t="s">
        <v>30</v>
      </c>
      <c r="H6">
        <v>37.78</v>
      </c>
      <c r="I6">
        <v>72</v>
      </c>
      <c r="J6">
        <v>2720.16</v>
      </c>
      <c r="K6" t="s">
        <v>31</v>
      </c>
    </row>
    <row r="7" spans="1:11" x14ac:dyDescent="0.35">
      <c r="A7" t="s">
        <v>32</v>
      </c>
      <c r="B7" t="s">
        <v>33</v>
      </c>
      <c r="C7" s="1">
        <v>44586</v>
      </c>
      <c r="D7" t="s">
        <v>34</v>
      </c>
      <c r="E7" t="s">
        <v>35</v>
      </c>
      <c r="F7" t="s">
        <v>36</v>
      </c>
      <c r="G7" t="s">
        <v>37</v>
      </c>
      <c r="H7">
        <v>75.239999999999995</v>
      </c>
      <c r="I7">
        <v>449</v>
      </c>
      <c r="J7">
        <v>33782.76</v>
      </c>
      <c r="K7" t="s">
        <v>17</v>
      </c>
    </row>
    <row r="8" spans="1:11" x14ac:dyDescent="0.35">
      <c r="A8" t="s">
        <v>38</v>
      </c>
      <c r="B8" t="s">
        <v>39</v>
      </c>
      <c r="C8" s="1">
        <v>44931</v>
      </c>
      <c r="D8" t="s">
        <v>40</v>
      </c>
      <c r="E8" t="s">
        <v>41</v>
      </c>
      <c r="F8" t="s">
        <v>42</v>
      </c>
      <c r="G8" t="s">
        <v>23</v>
      </c>
      <c r="H8">
        <v>34.130000000000003</v>
      </c>
      <c r="I8">
        <v>54</v>
      </c>
      <c r="J8">
        <v>1843.02</v>
      </c>
      <c r="K8" t="s">
        <v>24</v>
      </c>
    </row>
    <row r="9" spans="1:11" x14ac:dyDescent="0.35">
      <c r="A9" t="s">
        <v>43</v>
      </c>
      <c r="B9" t="s">
        <v>19</v>
      </c>
      <c r="C9" s="1">
        <v>44816</v>
      </c>
      <c r="D9" t="s">
        <v>13</v>
      </c>
      <c r="E9" t="s">
        <v>14</v>
      </c>
      <c r="F9" t="s">
        <v>15</v>
      </c>
      <c r="G9" t="s">
        <v>44</v>
      </c>
      <c r="H9">
        <v>76.36</v>
      </c>
      <c r="I9">
        <v>764</v>
      </c>
      <c r="J9">
        <v>58339.040000000001</v>
      </c>
      <c r="K9" t="s">
        <v>31</v>
      </c>
    </row>
    <row r="10" spans="1:11" x14ac:dyDescent="0.35">
      <c r="A10" t="s">
        <v>45</v>
      </c>
      <c r="B10" t="s">
        <v>12</v>
      </c>
      <c r="C10" s="1">
        <v>44649</v>
      </c>
      <c r="D10" t="s">
        <v>20</v>
      </c>
      <c r="E10" t="s">
        <v>21</v>
      </c>
      <c r="F10" t="s">
        <v>22</v>
      </c>
      <c r="G10" t="s">
        <v>30</v>
      </c>
      <c r="H10">
        <v>23.59</v>
      </c>
      <c r="I10">
        <v>871</v>
      </c>
      <c r="J10">
        <v>20546.89</v>
      </c>
      <c r="K10" t="s">
        <v>17</v>
      </c>
    </row>
    <row r="11" spans="1:11" x14ac:dyDescent="0.35">
      <c r="A11" t="s">
        <v>46</v>
      </c>
      <c r="B11" t="s">
        <v>39</v>
      </c>
      <c r="C11" s="1">
        <v>44743</v>
      </c>
      <c r="D11" t="s">
        <v>27</v>
      </c>
      <c r="E11" t="s">
        <v>28</v>
      </c>
      <c r="F11" t="s">
        <v>29</v>
      </c>
      <c r="G11" t="s">
        <v>37</v>
      </c>
      <c r="H11">
        <v>46.88</v>
      </c>
      <c r="I11">
        <v>60</v>
      </c>
      <c r="J11">
        <v>2812.8</v>
      </c>
      <c r="K11" t="s">
        <v>24</v>
      </c>
    </row>
    <row r="12" spans="1:11" x14ac:dyDescent="0.35">
      <c r="A12" t="s">
        <v>47</v>
      </c>
      <c r="B12" t="s">
        <v>26</v>
      </c>
      <c r="C12" s="1">
        <v>44903</v>
      </c>
      <c r="D12" t="s">
        <v>34</v>
      </c>
      <c r="E12" t="s">
        <v>48</v>
      </c>
      <c r="F12" t="s">
        <v>49</v>
      </c>
      <c r="G12" t="s">
        <v>50</v>
      </c>
      <c r="H12">
        <v>67.64</v>
      </c>
      <c r="I12">
        <v>1156</v>
      </c>
      <c r="J12">
        <v>78191.839999999997</v>
      </c>
      <c r="K12" t="s">
        <v>31</v>
      </c>
    </row>
    <row r="13" spans="1:11" x14ac:dyDescent="0.35">
      <c r="A13" t="s">
        <v>51</v>
      </c>
      <c r="B13" t="s">
        <v>33</v>
      </c>
      <c r="C13" s="1">
        <v>44665</v>
      </c>
      <c r="D13" t="s">
        <v>13</v>
      </c>
      <c r="E13" t="s">
        <v>14</v>
      </c>
      <c r="F13" t="s">
        <v>15</v>
      </c>
      <c r="G13" t="s">
        <v>16</v>
      </c>
      <c r="H13">
        <v>60.09</v>
      </c>
      <c r="I13">
        <v>726</v>
      </c>
      <c r="J13">
        <v>43625.34</v>
      </c>
      <c r="K13" t="s">
        <v>17</v>
      </c>
    </row>
    <row r="14" spans="1:11" x14ac:dyDescent="0.35">
      <c r="A14" t="s">
        <v>52</v>
      </c>
      <c r="B14" t="s">
        <v>12</v>
      </c>
      <c r="C14" s="1">
        <v>44852</v>
      </c>
      <c r="D14" t="s">
        <v>40</v>
      </c>
      <c r="E14" t="s">
        <v>41</v>
      </c>
      <c r="F14" t="s">
        <v>42</v>
      </c>
      <c r="G14" t="s">
        <v>44</v>
      </c>
      <c r="H14">
        <v>83.22</v>
      </c>
      <c r="I14">
        <v>641</v>
      </c>
      <c r="J14">
        <v>53344.02</v>
      </c>
      <c r="K14" t="s">
        <v>17</v>
      </c>
    </row>
    <row r="15" spans="1:11" x14ac:dyDescent="0.35">
      <c r="A15" t="s">
        <v>53</v>
      </c>
      <c r="B15" t="s">
        <v>19</v>
      </c>
      <c r="C15" s="1">
        <v>44683</v>
      </c>
      <c r="D15" t="s">
        <v>34</v>
      </c>
      <c r="E15" t="s">
        <v>35</v>
      </c>
      <c r="F15" t="s">
        <v>36</v>
      </c>
      <c r="G15" t="s">
        <v>37</v>
      </c>
      <c r="H15">
        <v>19.170000000000002</v>
      </c>
      <c r="I15">
        <v>923</v>
      </c>
      <c r="J15">
        <v>17693.91</v>
      </c>
      <c r="K15" t="s">
        <v>31</v>
      </c>
    </row>
    <row r="16" spans="1:11" x14ac:dyDescent="0.35">
      <c r="A16" t="s">
        <v>54</v>
      </c>
      <c r="B16" t="s">
        <v>26</v>
      </c>
      <c r="C16" s="1">
        <v>44770</v>
      </c>
      <c r="D16" t="s">
        <v>13</v>
      </c>
      <c r="E16" t="s">
        <v>14</v>
      </c>
      <c r="F16" t="s">
        <v>15</v>
      </c>
      <c r="G16" t="s">
        <v>16</v>
      </c>
      <c r="H16">
        <v>88.39</v>
      </c>
      <c r="I16">
        <v>1131</v>
      </c>
      <c r="J16">
        <v>99969.09</v>
      </c>
      <c r="K16" t="s">
        <v>24</v>
      </c>
    </row>
    <row r="17" spans="1:11" x14ac:dyDescent="0.35">
      <c r="A17" t="s">
        <v>55</v>
      </c>
      <c r="B17" t="s">
        <v>33</v>
      </c>
      <c r="C17" s="1">
        <v>44633</v>
      </c>
      <c r="D17" t="s">
        <v>20</v>
      </c>
      <c r="E17" t="s">
        <v>21</v>
      </c>
      <c r="F17" t="s">
        <v>22</v>
      </c>
      <c r="G17" t="s">
        <v>44</v>
      </c>
      <c r="H17">
        <v>35.17</v>
      </c>
      <c r="I17">
        <v>254</v>
      </c>
      <c r="J17">
        <v>8933.18</v>
      </c>
      <c r="K17" t="s">
        <v>17</v>
      </c>
    </row>
    <row r="18" spans="1:11" x14ac:dyDescent="0.35">
      <c r="A18" t="s">
        <v>56</v>
      </c>
      <c r="B18" t="s">
        <v>39</v>
      </c>
      <c r="C18" s="1">
        <v>44941</v>
      </c>
      <c r="D18" t="s">
        <v>27</v>
      </c>
      <c r="E18" t="s">
        <v>28</v>
      </c>
      <c r="F18" t="s">
        <v>29</v>
      </c>
      <c r="G18" t="s">
        <v>30</v>
      </c>
      <c r="H18">
        <v>21.22</v>
      </c>
      <c r="I18">
        <v>184</v>
      </c>
      <c r="J18">
        <v>3904.48</v>
      </c>
      <c r="K18" t="s">
        <v>31</v>
      </c>
    </row>
    <row r="19" spans="1:11" x14ac:dyDescent="0.35">
      <c r="A19" t="s">
        <v>57</v>
      </c>
      <c r="B19" t="s">
        <v>12</v>
      </c>
      <c r="C19" s="1">
        <v>44584</v>
      </c>
      <c r="D19" t="s">
        <v>13</v>
      </c>
      <c r="E19" t="s">
        <v>14</v>
      </c>
      <c r="F19" t="s">
        <v>15</v>
      </c>
      <c r="G19" t="s">
        <v>23</v>
      </c>
      <c r="H19">
        <v>27.57</v>
      </c>
      <c r="I19">
        <v>987</v>
      </c>
      <c r="J19">
        <v>27211.59</v>
      </c>
      <c r="K19" t="s">
        <v>24</v>
      </c>
    </row>
    <row r="20" spans="1:11" x14ac:dyDescent="0.35">
      <c r="A20" t="s">
        <v>58</v>
      </c>
      <c r="B20" t="s">
        <v>19</v>
      </c>
      <c r="C20" s="1">
        <v>44808</v>
      </c>
      <c r="D20" t="s">
        <v>20</v>
      </c>
      <c r="E20" t="s">
        <v>21</v>
      </c>
      <c r="F20" t="s">
        <v>22</v>
      </c>
      <c r="G20" t="s">
        <v>16</v>
      </c>
      <c r="H20">
        <v>67.27</v>
      </c>
      <c r="I20">
        <v>101</v>
      </c>
      <c r="J20">
        <v>6794.27</v>
      </c>
      <c r="K20" t="s">
        <v>17</v>
      </c>
    </row>
    <row r="21" spans="1:11" x14ac:dyDescent="0.35">
      <c r="A21" t="s">
        <v>59</v>
      </c>
      <c r="B21" t="s">
        <v>26</v>
      </c>
      <c r="C21" s="1">
        <v>44782</v>
      </c>
      <c r="D21" t="s">
        <v>27</v>
      </c>
      <c r="E21" t="s">
        <v>28</v>
      </c>
      <c r="F21" t="s">
        <v>29</v>
      </c>
      <c r="G21" t="s">
        <v>30</v>
      </c>
      <c r="H21">
        <v>84.22</v>
      </c>
      <c r="I21">
        <v>591</v>
      </c>
      <c r="J21">
        <v>49774.02</v>
      </c>
      <c r="K21" t="s">
        <v>24</v>
      </c>
    </row>
    <row r="22" spans="1:11" x14ac:dyDescent="0.35">
      <c r="A22" t="s">
        <v>60</v>
      </c>
      <c r="B22" t="s">
        <v>33</v>
      </c>
      <c r="C22" s="1">
        <v>44935</v>
      </c>
      <c r="D22" t="s">
        <v>34</v>
      </c>
      <c r="E22" t="s">
        <v>48</v>
      </c>
      <c r="F22" t="s">
        <v>49</v>
      </c>
      <c r="G22" t="s">
        <v>37</v>
      </c>
      <c r="H22">
        <v>74.78</v>
      </c>
      <c r="I22">
        <v>812</v>
      </c>
      <c r="J22">
        <v>60721.36</v>
      </c>
      <c r="K22" t="s">
        <v>31</v>
      </c>
    </row>
    <row r="23" spans="1:11" x14ac:dyDescent="0.35">
      <c r="A23" t="s">
        <v>61</v>
      </c>
      <c r="B23" t="s">
        <v>39</v>
      </c>
      <c r="C23" s="1">
        <v>44604</v>
      </c>
      <c r="D23" t="s">
        <v>13</v>
      </c>
      <c r="E23" t="s">
        <v>14</v>
      </c>
      <c r="F23" t="s">
        <v>15</v>
      </c>
      <c r="G23" t="s">
        <v>23</v>
      </c>
      <c r="H23">
        <v>26.64</v>
      </c>
      <c r="I23">
        <v>850</v>
      </c>
      <c r="J23">
        <v>22644</v>
      </c>
      <c r="K23" t="s">
        <v>17</v>
      </c>
    </row>
    <row r="24" spans="1:11" x14ac:dyDescent="0.35">
      <c r="A24" t="s">
        <v>62</v>
      </c>
      <c r="B24" t="s">
        <v>12</v>
      </c>
      <c r="C24" s="1">
        <v>44658</v>
      </c>
      <c r="D24" t="s">
        <v>27</v>
      </c>
      <c r="E24" t="s">
        <v>28</v>
      </c>
      <c r="F24" t="s">
        <v>29</v>
      </c>
      <c r="G24" t="s">
        <v>16</v>
      </c>
      <c r="H24">
        <v>62.44</v>
      </c>
      <c r="I24">
        <v>112</v>
      </c>
      <c r="J24">
        <v>6993.28</v>
      </c>
      <c r="K24" t="s">
        <v>17</v>
      </c>
    </row>
    <row r="25" spans="1:11" x14ac:dyDescent="0.35">
      <c r="A25" t="s">
        <v>63</v>
      </c>
      <c r="B25" t="s">
        <v>19</v>
      </c>
      <c r="C25" s="1">
        <v>44925</v>
      </c>
      <c r="D25" t="s">
        <v>40</v>
      </c>
      <c r="E25" t="s">
        <v>41</v>
      </c>
      <c r="F25" t="s">
        <v>42</v>
      </c>
      <c r="G25" t="s">
        <v>30</v>
      </c>
      <c r="H25">
        <v>29.53</v>
      </c>
      <c r="I25">
        <v>925</v>
      </c>
      <c r="J25">
        <v>27315.25</v>
      </c>
      <c r="K25" t="s">
        <v>24</v>
      </c>
    </row>
    <row r="26" spans="1:11" x14ac:dyDescent="0.35">
      <c r="A26" t="s">
        <v>64</v>
      </c>
      <c r="B26" t="s">
        <v>26</v>
      </c>
      <c r="C26" s="1">
        <v>44620</v>
      </c>
      <c r="D26" t="s">
        <v>34</v>
      </c>
      <c r="E26" t="s">
        <v>35</v>
      </c>
      <c r="F26" t="s">
        <v>36</v>
      </c>
      <c r="G26" t="s">
        <v>37</v>
      </c>
      <c r="H26">
        <v>41.89</v>
      </c>
      <c r="I26">
        <v>45</v>
      </c>
      <c r="J26">
        <v>1885.05</v>
      </c>
      <c r="K26" t="s">
        <v>31</v>
      </c>
    </row>
    <row r="27" spans="1:11" x14ac:dyDescent="0.35">
      <c r="A27" t="s">
        <v>65</v>
      </c>
      <c r="B27" t="s">
        <v>33</v>
      </c>
      <c r="C27" s="1">
        <v>44776</v>
      </c>
      <c r="D27" t="s">
        <v>13</v>
      </c>
      <c r="E27" t="s">
        <v>14</v>
      </c>
      <c r="F27" t="s">
        <v>15</v>
      </c>
      <c r="G27" t="s">
        <v>50</v>
      </c>
      <c r="H27">
        <v>94.62</v>
      </c>
      <c r="I27">
        <v>1139</v>
      </c>
      <c r="J27">
        <v>107772.18</v>
      </c>
      <c r="K27" t="s">
        <v>17</v>
      </c>
    </row>
    <row r="28" spans="1:11" x14ac:dyDescent="0.35">
      <c r="A28" t="s">
        <v>66</v>
      </c>
      <c r="B28" t="s">
        <v>39</v>
      </c>
      <c r="C28" s="1">
        <v>44728</v>
      </c>
      <c r="D28" t="s">
        <v>20</v>
      </c>
      <c r="E28" t="s">
        <v>21</v>
      </c>
      <c r="F28" t="s">
        <v>22</v>
      </c>
      <c r="G28" t="s">
        <v>37</v>
      </c>
      <c r="H28">
        <v>31.49</v>
      </c>
      <c r="I28">
        <v>681</v>
      </c>
      <c r="J28">
        <v>21444.69</v>
      </c>
      <c r="K28" t="s">
        <v>24</v>
      </c>
    </row>
    <row r="29" spans="1:11" x14ac:dyDescent="0.35">
      <c r="A29" t="s">
        <v>67</v>
      </c>
      <c r="B29" t="s">
        <v>12</v>
      </c>
      <c r="C29" s="1">
        <v>44845</v>
      </c>
      <c r="D29" t="s">
        <v>27</v>
      </c>
      <c r="E29" t="s">
        <v>28</v>
      </c>
      <c r="F29" t="s">
        <v>29</v>
      </c>
      <c r="G29" t="s">
        <v>23</v>
      </c>
      <c r="H29">
        <v>61.64</v>
      </c>
      <c r="I29">
        <v>150</v>
      </c>
      <c r="J29">
        <v>9246</v>
      </c>
      <c r="K29" t="s">
        <v>31</v>
      </c>
    </row>
    <row r="30" spans="1:11" x14ac:dyDescent="0.35">
      <c r="A30" t="s">
        <v>68</v>
      </c>
      <c r="B30" t="s">
        <v>19</v>
      </c>
      <c r="C30" s="1">
        <v>44700</v>
      </c>
      <c r="D30" t="s">
        <v>40</v>
      </c>
      <c r="E30" t="s">
        <v>41</v>
      </c>
      <c r="F30" t="s">
        <v>42</v>
      </c>
      <c r="G30" t="s">
        <v>30</v>
      </c>
      <c r="H30">
        <v>18.13</v>
      </c>
      <c r="I30">
        <v>1109</v>
      </c>
      <c r="J30">
        <v>20106.169999999998</v>
      </c>
      <c r="K30" t="s">
        <v>17</v>
      </c>
    </row>
    <row r="31" spans="1:11" x14ac:dyDescent="0.35">
      <c r="A31" t="s">
        <v>69</v>
      </c>
      <c r="B31" t="s">
        <v>26</v>
      </c>
      <c r="C31" s="1">
        <v>44578</v>
      </c>
      <c r="D31" t="s">
        <v>34</v>
      </c>
      <c r="E31" t="s">
        <v>48</v>
      </c>
      <c r="F31" t="s">
        <v>49</v>
      </c>
      <c r="G31" t="s">
        <v>37</v>
      </c>
      <c r="H31">
        <v>89.05</v>
      </c>
      <c r="I31">
        <v>1029</v>
      </c>
      <c r="J31">
        <v>91632.45</v>
      </c>
      <c r="K31" t="s">
        <v>24</v>
      </c>
    </row>
    <row r="32" spans="1:11" x14ac:dyDescent="0.35">
      <c r="A32" t="s">
        <v>70</v>
      </c>
      <c r="B32" t="s">
        <v>33</v>
      </c>
      <c r="C32" s="1">
        <v>44945</v>
      </c>
      <c r="D32" t="s">
        <v>13</v>
      </c>
      <c r="E32" t="s">
        <v>14</v>
      </c>
      <c r="F32" t="s">
        <v>15</v>
      </c>
      <c r="G32" t="s">
        <v>23</v>
      </c>
      <c r="H32">
        <v>69.010000000000005</v>
      </c>
      <c r="I32">
        <v>122</v>
      </c>
      <c r="J32">
        <v>8419.2199999999993</v>
      </c>
      <c r="K32" t="s">
        <v>31</v>
      </c>
    </row>
    <row r="33" spans="1:11" x14ac:dyDescent="0.35">
      <c r="A33" t="s">
        <v>71</v>
      </c>
      <c r="B33" t="s">
        <v>39</v>
      </c>
      <c r="C33" s="1">
        <v>44622</v>
      </c>
      <c r="D33" t="s">
        <v>20</v>
      </c>
      <c r="E33" t="s">
        <v>21</v>
      </c>
      <c r="F33" t="s">
        <v>22</v>
      </c>
      <c r="G33" t="s">
        <v>16</v>
      </c>
      <c r="H33">
        <v>71.709999999999994</v>
      </c>
      <c r="I33">
        <v>597</v>
      </c>
      <c r="J33">
        <v>42810.87</v>
      </c>
      <c r="K33" t="s">
        <v>17</v>
      </c>
    </row>
    <row r="34" spans="1:11" x14ac:dyDescent="0.35">
      <c r="A34" t="s">
        <v>72</v>
      </c>
      <c r="B34" t="s">
        <v>12</v>
      </c>
      <c r="C34" s="1">
        <v>44832</v>
      </c>
      <c r="D34" t="s">
        <v>27</v>
      </c>
      <c r="E34" t="s">
        <v>28</v>
      </c>
      <c r="F34" t="s">
        <v>29</v>
      </c>
      <c r="G34" t="s">
        <v>50</v>
      </c>
      <c r="H34">
        <v>95.57</v>
      </c>
      <c r="I34">
        <v>498</v>
      </c>
      <c r="J34">
        <v>47593.86</v>
      </c>
      <c r="K34" t="s">
        <v>24</v>
      </c>
    </row>
    <row r="35" spans="1:11" x14ac:dyDescent="0.35">
      <c r="A35" t="s">
        <v>73</v>
      </c>
      <c r="B35" t="s">
        <v>19</v>
      </c>
      <c r="C35" s="1">
        <v>44911</v>
      </c>
      <c r="D35" t="s">
        <v>40</v>
      </c>
      <c r="E35" t="s">
        <v>41</v>
      </c>
      <c r="F35" t="s">
        <v>42</v>
      </c>
      <c r="G35" t="s">
        <v>23</v>
      </c>
      <c r="H35">
        <v>23.87</v>
      </c>
      <c r="I35">
        <v>625</v>
      </c>
      <c r="J35">
        <v>14918.75</v>
      </c>
      <c r="K35" t="s">
        <v>31</v>
      </c>
    </row>
    <row r="36" spans="1:11" x14ac:dyDescent="0.35">
      <c r="A36" t="s">
        <v>74</v>
      </c>
      <c r="B36" t="s">
        <v>26</v>
      </c>
      <c r="C36" s="1">
        <v>44766</v>
      </c>
      <c r="D36" t="s">
        <v>34</v>
      </c>
      <c r="E36" t="s">
        <v>35</v>
      </c>
      <c r="F36" t="s">
        <v>36</v>
      </c>
      <c r="G36" t="s">
        <v>16</v>
      </c>
      <c r="H36">
        <v>44.19</v>
      </c>
      <c r="I36">
        <v>212</v>
      </c>
      <c r="J36">
        <v>9368.2800000000007</v>
      </c>
      <c r="K36" t="s">
        <v>17</v>
      </c>
    </row>
    <row r="37" spans="1:11" x14ac:dyDescent="0.35">
      <c r="A37" t="s">
        <v>75</v>
      </c>
      <c r="B37" t="s">
        <v>33</v>
      </c>
      <c r="C37" s="1">
        <v>44602</v>
      </c>
      <c r="D37" t="s">
        <v>13</v>
      </c>
      <c r="E37" t="s">
        <v>14</v>
      </c>
      <c r="F37" t="s">
        <v>15</v>
      </c>
      <c r="G37" t="s">
        <v>30</v>
      </c>
      <c r="H37">
        <v>37.020000000000003</v>
      </c>
      <c r="I37">
        <v>583</v>
      </c>
      <c r="J37">
        <v>21582.66</v>
      </c>
      <c r="K37" t="s">
        <v>24</v>
      </c>
    </row>
    <row r="38" spans="1:11" x14ac:dyDescent="0.35">
      <c r="A38" t="s">
        <v>76</v>
      </c>
      <c r="B38" t="s">
        <v>39</v>
      </c>
      <c r="C38" s="1">
        <v>44707</v>
      </c>
      <c r="D38" t="s">
        <v>20</v>
      </c>
      <c r="E38" t="s">
        <v>21</v>
      </c>
      <c r="F38" t="s">
        <v>22</v>
      </c>
      <c r="G38" t="s">
        <v>23</v>
      </c>
      <c r="H38">
        <v>67.430000000000007</v>
      </c>
      <c r="I38">
        <v>1141</v>
      </c>
      <c r="J38">
        <v>76937.63</v>
      </c>
      <c r="K38" t="s">
        <v>31</v>
      </c>
    </row>
    <row r="39" spans="1:11" x14ac:dyDescent="0.35">
      <c r="A39" t="s">
        <v>77</v>
      </c>
      <c r="B39" t="s">
        <v>12</v>
      </c>
      <c r="C39" s="1">
        <v>44928</v>
      </c>
      <c r="D39" t="s">
        <v>27</v>
      </c>
      <c r="E39" t="s">
        <v>28</v>
      </c>
      <c r="F39" t="s">
        <v>29</v>
      </c>
      <c r="G39" t="s">
        <v>50</v>
      </c>
      <c r="H39">
        <v>83.77</v>
      </c>
      <c r="I39">
        <v>998</v>
      </c>
      <c r="J39">
        <v>83602.460000000006</v>
      </c>
      <c r="K39" t="s">
        <v>17</v>
      </c>
    </row>
    <row r="40" spans="1:11" x14ac:dyDescent="0.35">
      <c r="A40" t="s">
        <v>78</v>
      </c>
      <c r="B40" t="s">
        <v>19</v>
      </c>
      <c r="C40" s="1">
        <v>44694</v>
      </c>
      <c r="D40" t="s">
        <v>40</v>
      </c>
      <c r="E40" t="s">
        <v>41</v>
      </c>
      <c r="F40" t="s">
        <v>42</v>
      </c>
      <c r="G40" t="s">
        <v>16</v>
      </c>
      <c r="H40">
        <v>30.28</v>
      </c>
      <c r="I40">
        <v>96</v>
      </c>
      <c r="J40">
        <v>2906.88</v>
      </c>
      <c r="K40" t="s">
        <v>24</v>
      </c>
    </row>
    <row r="41" spans="1:11" x14ac:dyDescent="0.35">
      <c r="A41" t="s">
        <v>79</v>
      </c>
      <c r="B41" t="s">
        <v>26</v>
      </c>
      <c r="C41" s="1">
        <v>44839</v>
      </c>
      <c r="D41" t="s">
        <v>34</v>
      </c>
      <c r="E41" t="s">
        <v>48</v>
      </c>
      <c r="F41" t="s">
        <v>49</v>
      </c>
      <c r="G41" t="s">
        <v>37</v>
      </c>
      <c r="H41">
        <v>49.62</v>
      </c>
      <c r="I41">
        <v>844</v>
      </c>
      <c r="J41">
        <v>41879.279999999999</v>
      </c>
      <c r="K41" t="s">
        <v>31</v>
      </c>
    </row>
    <row r="42" spans="1:11" x14ac:dyDescent="0.35">
      <c r="A42" t="s">
        <v>80</v>
      </c>
      <c r="B42" t="s">
        <v>33</v>
      </c>
      <c r="C42" s="1">
        <v>44733</v>
      </c>
      <c r="D42" t="s">
        <v>13</v>
      </c>
      <c r="E42" t="s">
        <v>14</v>
      </c>
      <c r="F42" t="s">
        <v>15</v>
      </c>
      <c r="G42" t="s">
        <v>44</v>
      </c>
      <c r="H42">
        <v>15.78</v>
      </c>
      <c r="I42">
        <v>933</v>
      </c>
      <c r="J42">
        <v>14722.74</v>
      </c>
      <c r="K42" t="s">
        <v>17</v>
      </c>
    </row>
    <row r="43" spans="1:11" x14ac:dyDescent="0.35">
      <c r="A43" t="s">
        <v>81</v>
      </c>
      <c r="B43" t="s">
        <v>39</v>
      </c>
      <c r="C43" s="1">
        <v>44855</v>
      </c>
      <c r="D43" t="s">
        <v>20</v>
      </c>
      <c r="E43" t="s">
        <v>21</v>
      </c>
      <c r="F43" t="s">
        <v>22</v>
      </c>
      <c r="G43" t="s">
        <v>30</v>
      </c>
      <c r="H43">
        <v>47.05</v>
      </c>
      <c r="I43">
        <v>365</v>
      </c>
      <c r="J43">
        <v>17173.25</v>
      </c>
      <c r="K43" t="s">
        <v>24</v>
      </c>
    </row>
    <row r="44" spans="1:11" x14ac:dyDescent="0.35">
      <c r="A44" t="s">
        <v>82</v>
      </c>
      <c r="B44" t="s">
        <v>12</v>
      </c>
      <c r="C44" s="1">
        <v>44799</v>
      </c>
      <c r="D44" t="s">
        <v>27</v>
      </c>
      <c r="E44" t="s">
        <v>28</v>
      </c>
      <c r="F44" t="s">
        <v>29</v>
      </c>
      <c r="G44" t="s">
        <v>50</v>
      </c>
      <c r="H44">
        <v>53.56</v>
      </c>
      <c r="I44">
        <v>472</v>
      </c>
      <c r="J44">
        <v>25280.32</v>
      </c>
      <c r="K44" t="s">
        <v>31</v>
      </c>
    </row>
    <row r="45" spans="1:11" x14ac:dyDescent="0.35">
      <c r="A45" t="s">
        <v>83</v>
      </c>
      <c r="B45" t="s">
        <v>19</v>
      </c>
      <c r="C45" s="1">
        <v>44637</v>
      </c>
      <c r="D45" t="s">
        <v>40</v>
      </c>
      <c r="E45" t="s">
        <v>41</v>
      </c>
      <c r="F45" t="s">
        <v>42</v>
      </c>
      <c r="G45" t="s">
        <v>44</v>
      </c>
      <c r="H45">
        <v>95.21</v>
      </c>
      <c r="I45">
        <v>413</v>
      </c>
      <c r="J45">
        <v>39321.730000000003</v>
      </c>
      <c r="K45" t="s">
        <v>17</v>
      </c>
    </row>
    <row r="46" spans="1:11" x14ac:dyDescent="0.35">
      <c r="A46" t="s">
        <v>84</v>
      </c>
      <c r="B46" t="s">
        <v>26</v>
      </c>
      <c r="C46" s="1">
        <v>44589</v>
      </c>
      <c r="D46" t="s">
        <v>34</v>
      </c>
      <c r="E46" t="s">
        <v>35</v>
      </c>
      <c r="F46" t="s">
        <v>36</v>
      </c>
      <c r="G46" t="s">
        <v>16</v>
      </c>
      <c r="H46">
        <v>79.98</v>
      </c>
      <c r="I46">
        <v>927</v>
      </c>
      <c r="J46">
        <v>74141.460000000006</v>
      </c>
      <c r="K46" t="s">
        <v>24</v>
      </c>
    </row>
    <row r="47" spans="1:11" x14ac:dyDescent="0.35">
      <c r="A47" t="s">
        <v>85</v>
      </c>
      <c r="B47" t="s">
        <v>33</v>
      </c>
      <c r="C47" s="1">
        <v>44785</v>
      </c>
      <c r="D47" t="s">
        <v>13</v>
      </c>
      <c r="E47" t="s">
        <v>14</v>
      </c>
      <c r="F47" t="s">
        <v>15</v>
      </c>
      <c r="G47" t="s">
        <v>30</v>
      </c>
      <c r="H47">
        <v>40.07</v>
      </c>
      <c r="I47">
        <v>208</v>
      </c>
      <c r="J47">
        <v>8334.56</v>
      </c>
      <c r="K47" t="s">
        <v>31</v>
      </c>
    </row>
    <row r="48" spans="1:11" x14ac:dyDescent="0.35">
      <c r="A48" t="s">
        <v>86</v>
      </c>
      <c r="B48" t="s">
        <v>39</v>
      </c>
      <c r="C48" s="1">
        <v>44689</v>
      </c>
      <c r="D48" t="s">
        <v>20</v>
      </c>
      <c r="E48" t="s">
        <v>21</v>
      </c>
      <c r="F48" t="s">
        <v>22</v>
      </c>
      <c r="G48" t="s">
        <v>23</v>
      </c>
      <c r="H48">
        <v>31.29</v>
      </c>
      <c r="I48">
        <v>324</v>
      </c>
      <c r="J48">
        <v>10137.959999999999</v>
      </c>
      <c r="K48" t="s">
        <v>17</v>
      </c>
    </row>
    <row r="49" spans="1:11" x14ac:dyDescent="0.35">
      <c r="A49" t="s">
        <v>87</v>
      </c>
      <c r="B49" t="s">
        <v>12</v>
      </c>
      <c r="C49" s="1">
        <v>44862</v>
      </c>
      <c r="D49" t="s">
        <v>27</v>
      </c>
      <c r="E49" t="s">
        <v>28</v>
      </c>
      <c r="F49" t="s">
        <v>29</v>
      </c>
      <c r="G49" t="s">
        <v>30</v>
      </c>
      <c r="H49">
        <v>67.55</v>
      </c>
      <c r="I49">
        <v>695</v>
      </c>
      <c r="J49">
        <v>46947.25</v>
      </c>
      <c r="K49" t="s">
        <v>24</v>
      </c>
    </row>
    <row r="50" spans="1:11" x14ac:dyDescent="0.35">
      <c r="A50" t="s">
        <v>88</v>
      </c>
      <c r="B50" t="s">
        <v>19</v>
      </c>
      <c r="C50" s="1">
        <v>44866</v>
      </c>
      <c r="D50" t="s">
        <v>40</v>
      </c>
      <c r="E50" t="s">
        <v>41</v>
      </c>
      <c r="F50" t="s">
        <v>42</v>
      </c>
      <c r="G50" t="s">
        <v>23</v>
      </c>
      <c r="H50">
        <v>76.23</v>
      </c>
      <c r="I50">
        <v>1171</v>
      </c>
      <c r="J50">
        <v>89265.33</v>
      </c>
      <c r="K50" t="s">
        <v>31</v>
      </c>
    </row>
    <row r="51" spans="1:11" x14ac:dyDescent="0.35">
      <c r="A51" t="s">
        <v>89</v>
      </c>
      <c r="B51" t="s">
        <v>26</v>
      </c>
      <c r="C51" s="1">
        <v>44613</v>
      </c>
      <c r="D51" t="s">
        <v>34</v>
      </c>
      <c r="E51" t="s">
        <v>48</v>
      </c>
      <c r="F51" t="s">
        <v>49</v>
      </c>
      <c r="G51" t="s">
        <v>16</v>
      </c>
      <c r="H51">
        <v>24.54</v>
      </c>
      <c r="I51">
        <v>751</v>
      </c>
      <c r="J51">
        <v>18429.54</v>
      </c>
      <c r="K51" t="s">
        <v>17</v>
      </c>
    </row>
    <row r="52" spans="1:11" x14ac:dyDescent="0.35">
      <c r="A52" t="s">
        <v>90</v>
      </c>
      <c r="B52" t="s">
        <v>33</v>
      </c>
      <c r="C52" s="1">
        <v>44762</v>
      </c>
      <c r="D52" t="s">
        <v>13</v>
      </c>
      <c r="E52" t="s">
        <v>14</v>
      </c>
      <c r="F52" t="s">
        <v>15</v>
      </c>
      <c r="G52" t="s">
        <v>23</v>
      </c>
      <c r="H52">
        <v>61.42</v>
      </c>
      <c r="I52">
        <v>87</v>
      </c>
      <c r="J52">
        <v>5343.54</v>
      </c>
      <c r="K52" t="s">
        <v>24</v>
      </c>
    </row>
    <row r="53" spans="1:11" x14ac:dyDescent="0.35">
      <c r="A53" t="s">
        <v>91</v>
      </c>
      <c r="B53" t="s">
        <v>39</v>
      </c>
      <c r="C53" s="1">
        <v>44949</v>
      </c>
      <c r="D53" t="s">
        <v>20</v>
      </c>
      <c r="E53" t="s">
        <v>21</v>
      </c>
      <c r="F53" t="s">
        <v>22</v>
      </c>
      <c r="G53" t="s">
        <v>50</v>
      </c>
      <c r="H53">
        <v>32.74</v>
      </c>
      <c r="I53">
        <v>214</v>
      </c>
      <c r="J53">
        <v>7006.36</v>
      </c>
      <c r="K53" t="s">
        <v>31</v>
      </c>
    </row>
    <row r="54" spans="1:11" x14ac:dyDescent="0.35">
      <c r="A54" t="s">
        <v>92</v>
      </c>
      <c r="B54" t="s">
        <v>12</v>
      </c>
      <c r="C54" s="1">
        <v>44675</v>
      </c>
      <c r="D54" t="s">
        <v>27</v>
      </c>
      <c r="E54" t="s">
        <v>28</v>
      </c>
      <c r="F54" t="s">
        <v>29</v>
      </c>
      <c r="G54" t="s">
        <v>37</v>
      </c>
      <c r="H54">
        <v>90.24</v>
      </c>
      <c r="I54">
        <v>547</v>
      </c>
      <c r="J54">
        <v>49361.279999999999</v>
      </c>
      <c r="K54" t="s">
        <v>17</v>
      </c>
    </row>
    <row r="55" spans="1:11" x14ac:dyDescent="0.35">
      <c r="A55" t="s">
        <v>93</v>
      </c>
      <c r="B55" t="s">
        <v>19</v>
      </c>
      <c r="C55" s="1">
        <v>44824</v>
      </c>
      <c r="D55" t="s">
        <v>40</v>
      </c>
      <c r="E55" t="s">
        <v>41</v>
      </c>
      <c r="F55" t="s">
        <v>42</v>
      </c>
      <c r="G55" t="s">
        <v>30</v>
      </c>
      <c r="H55">
        <v>43.32</v>
      </c>
      <c r="I55">
        <v>609</v>
      </c>
      <c r="J55">
        <v>26381.88</v>
      </c>
      <c r="K55" t="s">
        <v>24</v>
      </c>
    </row>
    <row r="56" spans="1:11" x14ac:dyDescent="0.35">
      <c r="A56" t="s">
        <v>94</v>
      </c>
      <c r="B56" t="s">
        <v>26</v>
      </c>
      <c r="C56" s="1">
        <v>44717</v>
      </c>
      <c r="D56" t="s">
        <v>34</v>
      </c>
      <c r="E56" t="s">
        <v>35</v>
      </c>
      <c r="F56" t="s">
        <v>36</v>
      </c>
      <c r="G56" t="s">
        <v>23</v>
      </c>
      <c r="H56">
        <v>25.66</v>
      </c>
      <c r="I56">
        <v>1099</v>
      </c>
      <c r="J56">
        <v>28200.34</v>
      </c>
      <c r="K56" t="s">
        <v>31</v>
      </c>
    </row>
    <row r="57" spans="1:11" x14ac:dyDescent="0.35">
      <c r="A57" t="s">
        <v>95</v>
      </c>
      <c r="B57" t="s">
        <v>33</v>
      </c>
      <c r="C57" s="1">
        <v>44572</v>
      </c>
      <c r="D57" t="s">
        <v>13</v>
      </c>
      <c r="E57" t="s">
        <v>14</v>
      </c>
      <c r="F57" t="s">
        <v>15</v>
      </c>
      <c r="G57" t="s">
        <v>16</v>
      </c>
      <c r="H57">
        <v>78.569999999999993</v>
      </c>
      <c r="I57">
        <v>920</v>
      </c>
      <c r="J57">
        <v>72284.399999999994</v>
      </c>
      <c r="K57" t="s">
        <v>17</v>
      </c>
    </row>
    <row r="58" spans="1:11" x14ac:dyDescent="0.35">
      <c r="A58" t="s">
        <v>96</v>
      </c>
      <c r="B58" t="s">
        <v>39</v>
      </c>
      <c r="C58" s="1">
        <v>44873</v>
      </c>
      <c r="D58" t="s">
        <v>20</v>
      </c>
      <c r="E58" t="s">
        <v>21</v>
      </c>
      <c r="F58" t="s">
        <v>22</v>
      </c>
      <c r="G58" t="s">
        <v>30</v>
      </c>
      <c r="H58">
        <v>48.61</v>
      </c>
      <c r="I58">
        <v>366</v>
      </c>
      <c r="J58">
        <v>17791.259999999998</v>
      </c>
      <c r="K58" t="s">
        <v>24</v>
      </c>
    </row>
    <row r="59" spans="1:11" x14ac:dyDescent="0.35">
      <c r="A59" t="s">
        <v>97</v>
      </c>
      <c r="B59" t="s">
        <v>12</v>
      </c>
      <c r="C59" s="1">
        <v>44629</v>
      </c>
      <c r="D59" t="s">
        <v>27</v>
      </c>
      <c r="E59" t="s">
        <v>28</v>
      </c>
      <c r="F59" t="s">
        <v>29</v>
      </c>
      <c r="G59" t="s">
        <v>50</v>
      </c>
      <c r="H59">
        <v>33.69</v>
      </c>
      <c r="I59">
        <v>532</v>
      </c>
      <c r="J59">
        <v>17923.080000000002</v>
      </c>
      <c r="K59" t="s">
        <v>31</v>
      </c>
    </row>
    <row r="60" spans="1:11" x14ac:dyDescent="0.35">
      <c r="A60" t="s">
        <v>98</v>
      </c>
      <c r="B60" t="s">
        <v>19</v>
      </c>
      <c r="C60" s="1">
        <v>44918</v>
      </c>
      <c r="D60" t="s">
        <v>40</v>
      </c>
      <c r="E60" t="s">
        <v>41</v>
      </c>
      <c r="F60" t="s">
        <v>42</v>
      </c>
      <c r="G60" t="s">
        <v>23</v>
      </c>
      <c r="H60">
        <v>64.790000000000006</v>
      </c>
      <c r="I60">
        <v>717</v>
      </c>
      <c r="J60">
        <v>46454.43</v>
      </c>
      <c r="K60" t="s">
        <v>17</v>
      </c>
    </row>
    <row r="61" spans="1:11" x14ac:dyDescent="0.35">
      <c r="A61" t="s">
        <v>99</v>
      </c>
      <c r="B61" t="s">
        <v>26</v>
      </c>
      <c r="C61" s="1">
        <v>44710</v>
      </c>
      <c r="D61" t="s">
        <v>34</v>
      </c>
      <c r="E61" t="s">
        <v>48</v>
      </c>
      <c r="F61" t="s">
        <v>49</v>
      </c>
      <c r="G61" t="s">
        <v>37</v>
      </c>
      <c r="H61">
        <v>18.61</v>
      </c>
      <c r="I61">
        <v>923</v>
      </c>
      <c r="J61">
        <v>17177.03</v>
      </c>
      <c r="K61" t="s">
        <v>24</v>
      </c>
    </row>
    <row r="62" spans="1:11" x14ac:dyDescent="0.35">
      <c r="A62" t="s">
        <v>100</v>
      </c>
      <c r="B62" t="s">
        <v>33</v>
      </c>
      <c r="C62" s="1">
        <v>44848</v>
      </c>
      <c r="D62" t="s">
        <v>13</v>
      </c>
      <c r="E62" t="s">
        <v>14</v>
      </c>
      <c r="F62" t="s">
        <v>15</v>
      </c>
      <c r="G62" t="s">
        <v>30</v>
      </c>
      <c r="H62">
        <v>52.21</v>
      </c>
      <c r="I62">
        <v>779</v>
      </c>
      <c r="J62">
        <v>40671.589999999997</v>
      </c>
      <c r="K62" t="s">
        <v>31</v>
      </c>
    </row>
    <row r="63" spans="1:11" x14ac:dyDescent="0.35">
      <c r="A63" t="s">
        <v>101</v>
      </c>
      <c r="B63" t="s">
        <v>39</v>
      </c>
      <c r="C63" s="1">
        <v>44722</v>
      </c>
      <c r="D63" t="s">
        <v>20</v>
      </c>
      <c r="E63" t="s">
        <v>21</v>
      </c>
      <c r="F63" t="s">
        <v>22</v>
      </c>
      <c r="G63" t="s">
        <v>50</v>
      </c>
      <c r="H63">
        <v>87.82</v>
      </c>
      <c r="I63">
        <v>980</v>
      </c>
      <c r="J63">
        <v>86063.6</v>
      </c>
      <c r="K63" t="s">
        <v>17</v>
      </c>
    </row>
    <row r="64" spans="1:11" x14ac:dyDescent="0.35">
      <c r="A64" t="s">
        <v>102</v>
      </c>
      <c r="B64" t="s">
        <v>12</v>
      </c>
      <c r="C64" s="1">
        <v>44569</v>
      </c>
      <c r="D64" t="s">
        <v>27</v>
      </c>
      <c r="E64" t="s">
        <v>28</v>
      </c>
      <c r="F64" t="s">
        <v>29</v>
      </c>
      <c r="G64" t="s">
        <v>37</v>
      </c>
      <c r="H64">
        <v>29.01</v>
      </c>
      <c r="I64">
        <v>853</v>
      </c>
      <c r="J64">
        <v>24745.53</v>
      </c>
      <c r="K64" t="s">
        <v>24</v>
      </c>
    </row>
    <row r="65" spans="1:11" x14ac:dyDescent="0.35">
      <c r="A65" t="s">
        <v>103</v>
      </c>
      <c r="B65" t="s">
        <v>19</v>
      </c>
      <c r="C65" s="1">
        <v>44817</v>
      </c>
      <c r="D65" t="s">
        <v>40</v>
      </c>
      <c r="E65" t="s">
        <v>41</v>
      </c>
      <c r="F65" t="s">
        <v>42</v>
      </c>
      <c r="G65" t="s">
        <v>30</v>
      </c>
      <c r="H65">
        <v>67.77</v>
      </c>
      <c r="I65">
        <v>654</v>
      </c>
      <c r="J65">
        <v>44321.58</v>
      </c>
      <c r="K65" t="s">
        <v>31</v>
      </c>
    </row>
    <row r="66" spans="1:11" x14ac:dyDescent="0.35">
      <c r="A66" t="s">
        <v>104</v>
      </c>
      <c r="B66" t="s">
        <v>26</v>
      </c>
      <c r="C66" s="1">
        <v>44890</v>
      </c>
      <c r="D66" t="s">
        <v>34</v>
      </c>
      <c r="E66" t="s">
        <v>35</v>
      </c>
      <c r="F66" t="s">
        <v>36</v>
      </c>
      <c r="G66" t="s">
        <v>16</v>
      </c>
      <c r="H66">
        <v>79.67</v>
      </c>
      <c r="I66">
        <v>822</v>
      </c>
      <c r="J66">
        <v>65488.74</v>
      </c>
      <c r="K66" t="s">
        <v>17</v>
      </c>
    </row>
    <row r="67" spans="1:11" x14ac:dyDescent="0.35">
      <c r="A67" t="s">
        <v>105</v>
      </c>
      <c r="B67" t="s">
        <v>33</v>
      </c>
      <c r="C67" s="1">
        <v>44681</v>
      </c>
      <c r="D67" t="s">
        <v>13</v>
      </c>
      <c r="E67" t="s">
        <v>14</v>
      </c>
      <c r="F67" t="s">
        <v>15</v>
      </c>
      <c r="G67" t="s">
        <v>23</v>
      </c>
      <c r="H67">
        <v>59.34</v>
      </c>
      <c r="I67">
        <v>694</v>
      </c>
      <c r="J67">
        <v>41181.96</v>
      </c>
      <c r="K67" t="s">
        <v>24</v>
      </c>
    </row>
    <row r="68" spans="1:11" x14ac:dyDescent="0.35">
      <c r="A68" t="s">
        <v>106</v>
      </c>
      <c r="B68" t="s">
        <v>39</v>
      </c>
      <c r="C68" s="1">
        <v>44745</v>
      </c>
      <c r="D68" t="s">
        <v>20</v>
      </c>
      <c r="E68" t="s">
        <v>21</v>
      </c>
      <c r="F68" t="s">
        <v>22</v>
      </c>
      <c r="G68" t="s">
        <v>44</v>
      </c>
      <c r="H68">
        <v>36.25</v>
      </c>
      <c r="I68">
        <v>343</v>
      </c>
      <c r="J68">
        <v>12433.75</v>
      </c>
      <c r="K68" t="s">
        <v>31</v>
      </c>
    </row>
    <row r="69" spans="1:11" x14ac:dyDescent="0.35">
      <c r="A69" t="s">
        <v>107</v>
      </c>
      <c r="B69" t="s">
        <v>12</v>
      </c>
      <c r="C69" s="1">
        <v>44887</v>
      </c>
      <c r="D69" t="s">
        <v>27</v>
      </c>
      <c r="E69" t="s">
        <v>28</v>
      </c>
      <c r="F69" t="s">
        <v>29</v>
      </c>
      <c r="G69" t="s">
        <v>30</v>
      </c>
      <c r="H69">
        <v>68.19</v>
      </c>
      <c r="I69">
        <v>594</v>
      </c>
      <c r="J69">
        <v>40504.86</v>
      </c>
      <c r="K69" t="s">
        <v>17</v>
      </c>
    </row>
    <row r="70" spans="1:11" x14ac:dyDescent="0.35">
      <c r="A70" t="s">
        <v>108</v>
      </c>
      <c r="B70" t="s">
        <v>19</v>
      </c>
      <c r="C70" s="1">
        <v>44725</v>
      </c>
      <c r="D70" t="s">
        <v>40</v>
      </c>
      <c r="E70" t="s">
        <v>41</v>
      </c>
      <c r="F70" t="s">
        <v>42</v>
      </c>
      <c r="G70" t="s">
        <v>37</v>
      </c>
      <c r="H70">
        <v>79.34</v>
      </c>
      <c r="I70">
        <v>991</v>
      </c>
      <c r="J70">
        <v>78625.94</v>
      </c>
      <c r="K70" t="s">
        <v>24</v>
      </c>
    </row>
    <row r="71" spans="1:11" x14ac:dyDescent="0.35">
      <c r="A71" t="s">
        <v>109</v>
      </c>
      <c r="B71" t="s">
        <v>26</v>
      </c>
      <c r="C71" s="1">
        <v>44577</v>
      </c>
      <c r="D71" t="s">
        <v>34</v>
      </c>
      <c r="E71" t="s">
        <v>48</v>
      </c>
      <c r="F71" t="s">
        <v>49</v>
      </c>
      <c r="G71" t="s">
        <v>50</v>
      </c>
      <c r="H71">
        <v>89.03</v>
      </c>
      <c r="I71">
        <v>902</v>
      </c>
      <c r="J71">
        <v>80305.06</v>
      </c>
      <c r="K71" t="s">
        <v>31</v>
      </c>
    </row>
    <row r="72" spans="1:11" x14ac:dyDescent="0.35">
      <c r="A72" t="s">
        <v>110</v>
      </c>
      <c r="B72" t="s">
        <v>33</v>
      </c>
      <c r="C72" s="1">
        <v>44691</v>
      </c>
      <c r="D72" t="s">
        <v>13</v>
      </c>
      <c r="E72" t="s">
        <v>14</v>
      </c>
      <c r="F72" t="s">
        <v>15</v>
      </c>
      <c r="G72" t="s">
        <v>16</v>
      </c>
      <c r="H72">
        <v>43.18</v>
      </c>
      <c r="I72">
        <v>365</v>
      </c>
      <c r="J72">
        <v>15760.7</v>
      </c>
      <c r="K72" t="s">
        <v>17</v>
      </c>
    </row>
    <row r="73" spans="1:11" x14ac:dyDescent="0.35">
      <c r="A73" t="s">
        <v>111</v>
      </c>
      <c r="B73" t="s">
        <v>39</v>
      </c>
      <c r="C73" s="1">
        <v>44883</v>
      </c>
      <c r="D73" t="s">
        <v>20</v>
      </c>
      <c r="E73" t="s">
        <v>21</v>
      </c>
      <c r="F73" t="s">
        <v>22</v>
      </c>
      <c r="G73" t="s">
        <v>30</v>
      </c>
      <c r="H73">
        <v>32.33</v>
      </c>
      <c r="I73">
        <v>1112</v>
      </c>
      <c r="J73">
        <v>35950.959999999999</v>
      </c>
      <c r="K73" t="s">
        <v>24</v>
      </c>
    </row>
    <row r="74" spans="1:11" x14ac:dyDescent="0.35">
      <c r="A74" t="s">
        <v>112</v>
      </c>
      <c r="B74" t="s">
        <v>12</v>
      </c>
      <c r="C74" s="1">
        <v>44673</v>
      </c>
      <c r="D74" t="s">
        <v>27</v>
      </c>
      <c r="E74" t="s">
        <v>28</v>
      </c>
      <c r="F74" t="s">
        <v>29</v>
      </c>
      <c r="G74" t="s">
        <v>44</v>
      </c>
      <c r="H74">
        <v>16.39</v>
      </c>
      <c r="I74">
        <v>1173</v>
      </c>
      <c r="J74">
        <v>19225.47</v>
      </c>
      <c r="K74" t="s">
        <v>31</v>
      </c>
    </row>
    <row r="75" spans="1:11" x14ac:dyDescent="0.35">
      <c r="A75" t="s">
        <v>113</v>
      </c>
      <c r="B75" t="s">
        <v>19</v>
      </c>
      <c r="C75" s="1">
        <v>44811</v>
      </c>
      <c r="D75" t="s">
        <v>40</v>
      </c>
      <c r="E75" t="s">
        <v>41</v>
      </c>
      <c r="F75" t="s">
        <v>42</v>
      </c>
      <c r="G75" t="s">
        <v>23</v>
      </c>
      <c r="H75">
        <v>60.77</v>
      </c>
      <c r="I75">
        <v>1018</v>
      </c>
      <c r="J75">
        <v>61863.86</v>
      </c>
      <c r="K75" t="s">
        <v>17</v>
      </c>
    </row>
    <row r="76" spans="1:11" x14ac:dyDescent="0.35">
      <c r="A76" t="s">
        <v>114</v>
      </c>
      <c r="B76" t="s">
        <v>26</v>
      </c>
      <c r="C76" s="1">
        <v>44898</v>
      </c>
      <c r="D76" t="s">
        <v>34</v>
      </c>
      <c r="E76" t="s">
        <v>35</v>
      </c>
      <c r="F76" t="s">
        <v>36</v>
      </c>
      <c r="G76" t="s">
        <v>16</v>
      </c>
      <c r="H76">
        <v>82.89</v>
      </c>
      <c r="I76">
        <v>74</v>
      </c>
      <c r="J76">
        <v>6133.86</v>
      </c>
      <c r="K76" t="s">
        <v>24</v>
      </c>
    </row>
    <row r="77" spans="1:11" x14ac:dyDescent="0.35">
      <c r="A77" t="s">
        <v>115</v>
      </c>
      <c r="B77" t="s">
        <v>33</v>
      </c>
      <c r="C77" s="1">
        <v>44790</v>
      </c>
      <c r="D77" t="s">
        <v>13</v>
      </c>
      <c r="E77" t="s">
        <v>14</v>
      </c>
      <c r="F77" t="s">
        <v>15</v>
      </c>
      <c r="G77" t="s">
        <v>50</v>
      </c>
      <c r="H77">
        <v>20.61</v>
      </c>
      <c r="I77">
        <v>556</v>
      </c>
      <c r="J77">
        <v>11459.16</v>
      </c>
      <c r="K77" t="s">
        <v>31</v>
      </c>
    </row>
    <row r="78" spans="1:11" x14ac:dyDescent="0.35">
      <c r="A78" t="s">
        <v>116</v>
      </c>
      <c r="B78" t="s">
        <v>39</v>
      </c>
      <c r="C78" s="1">
        <v>44617</v>
      </c>
      <c r="D78" t="s">
        <v>20</v>
      </c>
      <c r="E78" t="s">
        <v>21</v>
      </c>
      <c r="F78" t="s">
        <v>22</v>
      </c>
      <c r="G78" t="s">
        <v>44</v>
      </c>
      <c r="H78">
        <v>32.57</v>
      </c>
      <c r="I78">
        <v>650</v>
      </c>
      <c r="J78">
        <v>21170.5</v>
      </c>
      <c r="K78" t="s">
        <v>17</v>
      </c>
    </row>
    <row r="79" spans="1:11" x14ac:dyDescent="0.35">
      <c r="A79" t="s">
        <v>117</v>
      </c>
      <c r="B79" t="s">
        <v>12</v>
      </c>
      <c r="C79" s="1">
        <v>44844</v>
      </c>
      <c r="D79" t="s">
        <v>27</v>
      </c>
      <c r="E79" t="s">
        <v>28</v>
      </c>
      <c r="F79" t="s">
        <v>29</v>
      </c>
      <c r="G79" t="s">
        <v>37</v>
      </c>
      <c r="H79">
        <v>19.649999999999999</v>
      </c>
      <c r="I79">
        <v>1115</v>
      </c>
      <c r="J79">
        <v>21909.75</v>
      </c>
      <c r="K79" t="s">
        <v>24</v>
      </c>
    </row>
    <row r="80" spans="1:11" x14ac:dyDescent="0.35">
      <c r="A80" t="s">
        <v>118</v>
      </c>
      <c r="B80" t="s">
        <v>19</v>
      </c>
      <c r="C80" s="1">
        <v>44707</v>
      </c>
      <c r="D80" t="s">
        <v>40</v>
      </c>
      <c r="E80" t="s">
        <v>41</v>
      </c>
      <c r="F80" t="s">
        <v>42</v>
      </c>
      <c r="G80" t="s">
        <v>30</v>
      </c>
      <c r="H80">
        <v>72.97</v>
      </c>
      <c r="I80">
        <v>1063</v>
      </c>
      <c r="J80">
        <v>77567.11</v>
      </c>
      <c r="K80" t="s">
        <v>31</v>
      </c>
    </row>
    <row r="81" spans="1:11" x14ac:dyDescent="0.35">
      <c r="A81" t="s">
        <v>119</v>
      </c>
      <c r="B81" t="s">
        <v>26</v>
      </c>
      <c r="C81" s="1">
        <v>44784</v>
      </c>
      <c r="D81" t="s">
        <v>34</v>
      </c>
      <c r="E81" t="s">
        <v>48</v>
      </c>
      <c r="F81" t="s">
        <v>49</v>
      </c>
      <c r="G81" t="s">
        <v>16</v>
      </c>
      <c r="H81">
        <v>44.58</v>
      </c>
      <c r="I81">
        <v>787</v>
      </c>
      <c r="J81">
        <v>35084.46</v>
      </c>
      <c r="K81" t="s">
        <v>17</v>
      </c>
    </row>
    <row r="82" spans="1:11" x14ac:dyDescent="0.35">
      <c r="A82" t="s">
        <v>120</v>
      </c>
      <c r="B82" t="s">
        <v>33</v>
      </c>
      <c r="C82" s="1">
        <v>44931</v>
      </c>
      <c r="D82" t="s">
        <v>13</v>
      </c>
      <c r="E82" t="s">
        <v>14</v>
      </c>
      <c r="F82" t="s">
        <v>15</v>
      </c>
      <c r="G82" t="s">
        <v>23</v>
      </c>
      <c r="H82">
        <v>74.72</v>
      </c>
      <c r="I82">
        <v>1052</v>
      </c>
      <c r="J82">
        <v>78605.440000000002</v>
      </c>
      <c r="K82" t="s">
        <v>24</v>
      </c>
    </row>
    <row r="83" spans="1:11" x14ac:dyDescent="0.35">
      <c r="A83" t="s">
        <v>121</v>
      </c>
      <c r="B83" t="s">
        <v>39</v>
      </c>
      <c r="C83" s="1">
        <v>44649</v>
      </c>
      <c r="D83" t="s">
        <v>20</v>
      </c>
      <c r="E83" t="s">
        <v>21</v>
      </c>
      <c r="F83" t="s">
        <v>22</v>
      </c>
      <c r="G83" t="s">
        <v>30</v>
      </c>
      <c r="H83">
        <v>37.44</v>
      </c>
      <c r="I83">
        <v>226</v>
      </c>
      <c r="J83">
        <v>8461.44</v>
      </c>
      <c r="K83" t="s">
        <v>31</v>
      </c>
    </row>
    <row r="84" spans="1:11" x14ac:dyDescent="0.35">
      <c r="A84" t="s">
        <v>122</v>
      </c>
      <c r="B84" t="s">
        <v>12</v>
      </c>
      <c r="C84" s="1">
        <v>44756</v>
      </c>
      <c r="D84" t="s">
        <v>27</v>
      </c>
      <c r="E84" t="s">
        <v>28</v>
      </c>
      <c r="F84" t="s">
        <v>29</v>
      </c>
      <c r="G84" t="s">
        <v>37</v>
      </c>
      <c r="H84">
        <v>25.64</v>
      </c>
      <c r="I84">
        <v>1223</v>
      </c>
      <c r="J84">
        <v>31357.72</v>
      </c>
      <c r="K84" t="s">
        <v>17</v>
      </c>
    </row>
    <row r="85" spans="1:11" x14ac:dyDescent="0.35">
      <c r="A85" t="s">
        <v>123</v>
      </c>
      <c r="B85" t="s">
        <v>19</v>
      </c>
      <c r="C85" s="1">
        <v>44913</v>
      </c>
      <c r="D85" t="s">
        <v>40</v>
      </c>
      <c r="E85" t="s">
        <v>41</v>
      </c>
      <c r="F85" t="s">
        <v>42</v>
      </c>
      <c r="G85" t="s">
        <v>44</v>
      </c>
      <c r="H85">
        <v>65.260000000000005</v>
      </c>
      <c r="I85">
        <v>1077</v>
      </c>
      <c r="J85">
        <v>70285.02</v>
      </c>
      <c r="K85" t="s">
        <v>24</v>
      </c>
    </row>
    <row r="86" spans="1:11" x14ac:dyDescent="0.35">
      <c r="A86" t="s">
        <v>124</v>
      </c>
      <c r="B86" t="s">
        <v>26</v>
      </c>
      <c r="C86" s="1">
        <v>44601</v>
      </c>
      <c r="D86" t="s">
        <v>34</v>
      </c>
      <c r="E86" t="s">
        <v>35</v>
      </c>
      <c r="F86" t="s">
        <v>36</v>
      </c>
      <c r="G86" t="s">
        <v>16</v>
      </c>
      <c r="H86">
        <v>22.27</v>
      </c>
      <c r="I86">
        <v>680</v>
      </c>
      <c r="J86">
        <v>15143.6</v>
      </c>
      <c r="K86" t="s">
        <v>31</v>
      </c>
    </row>
    <row r="87" spans="1:11" x14ac:dyDescent="0.35">
      <c r="A87" t="s">
        <v>125</v>
      </c>
      <c r="B87" t="s">
        <v>33</v>
      </c>
      <c r="C87" s="1">
        <v>44715</v>
      </c>
      <c r="D87" t="s">
        <v>13</v>
      </c>
      <c r="E87" t="s">
        <v>14</v>
      </c>
      <c r="F87" t="s">
        <v>15</v>
      </c>
      <c r="G87" t="s">
        <v>23</v>
      </c>
      <c r="H87">
        <v>54.64</v>
      </c>
      <c r="I87">
        <v>251</v>
      </c>
      <c r="J87">
        <v>13714.64</v>
      </c>
      <c r="K87" t="s">
        <v>17</v>
      </c>
    </row>
    <row r="88" spans="1:11" x14ac:dyDescent="0.35">
      <c r="A88" t="s">
        <v>126</v>
      </c>
      <c r="B88" t="s">
        <v>39</v>
      </c>
      <c r="C88" s="1">
        <v>44862</v>
      </c>
      <c r="D88" t="s">
        <v>20</v>
      </c>
      <c r="E88" t="s">
        <v>21</v>
      </c>
      <c r="F88" t="s">
        <v>22</v>
      </c>
      <c r="G88" t="s">
        <v>50</v>
      </c>
      <c r="H88">
        <v>94.18</v>
      </c>
      <c r="I88">
        <v>1117</v>
      </c>
      <c r="J88">
        <v>105199.06</v>
      </c>
      <c r="K88" t="s">
        <v>24</v>
      </c>
    </row>
    <row r="89" spans="1:11" x14ac:dyDescent="0.35">
      <c r="A89" t="s">
        <v>127</v>
      </c>
      <c r="B89" t="s">
        <v>12</v>
      </c>
      <c r="C89" s="1">
        <v>44646</v>
      </c>
      <c r="D89" t="s">
        <v>27</v>
      </c>
      <c r="E89" t="s">
        <v>28</v>
      </c>
      <c r="F89" t="s">
        <v>29</v>
      </c>
      <c r="G89" t="s">
        <v>30</v>
      </c>
      <c r="H89">
        <v>16.39</v>
      </c>
      <c r="I89">
        <v>812</v>
      </c>
      <c r="J89">
        <v>13308.68</v>
      </c>
      <c r="K89" t="s">
        <v>31</v>
      </c>
    </row>
    <row r="90" spans="1:11" x14ac:dyDescent="0.35">
      <c r="A90" t="s">
        <v>128</v>
      </c>
      <c r="B90" t="s">
        <v>19</v>
      </c>
      <c r="C90" s="1">
        <v>44886</v>
      </c>
      <c r="D90" t="s">
        <v>40</v>
      </c>
      <c r="E90" t="s">
        <v>41</v>
      </c>
      <c r="F90" t="s">
        <v>42</v>
      </c>
      <c r="G90" t="s">
        <v>44</v>
      </c>
      <c r="H90">
        <v>81.52</v>
      </c>
      <c r="I90">
        <v>497</v>
      </c>
      <c r="J90">
        <v>40515.440000000002</v>
      </c>
      <c r="K90" t="s">
        <v>17</v>
      </c>
    </row>
    <row r="91" spans="1:11" x14ac:dyDescent="0.35">
      <c r="A91" t="s">
        <v>129</v>
      </c>
      <c r="B91" t="s">
        <v>26</v>
      </c>
      <c r="C91" s="1">
        <v>44698</v>
      </c>
      <c r="D91" t="s">
        <v>34</v>
      </c>
      <c r="E91" t="s">
        <v>48</v>
      </c>
      <c r="F91" t="s">
        <v>49</v>
      </c>
      <c r="G91" t="s">
        <v>37</v>
      </c>
      <c r="H91">
        <v>48.39</v>
      </c>
      <c r="I91">
        <v>927</v>
      </c>
      <c r="J91">
        <v>44857.53</v>
      </c>
      <c r="K91" t="s">
        <v>24</v>
      </c>
    </row>
    <row r="92" spans="1:11" x14ac:dyDescent="0.35">
      <c r="A92" t="s">
        <v>130</v>
      </c>
      <c r="B92" t="s">
        <v>33</v>
      </c>
      <c r="C92" s="1">
        <v>44778</v>
      </c>
      <c r="D92" t="s">
        <v>13</v>
      </c>
      <c r="E92" t="s">
        <v>14</v>
      </c>
      <c r="F92" t="s">
        <v>15</v>
      </c>
      <c r="G92" t="s">
        <v>16</v>
      </c>
      <c r="H92">
        <v>38.94</v>
      </c>
      <c r="I92">
        <v>1103</v>
      </c>
      <c r="J92">
        <v>42950.82</v>
      </c>
      <c r="K92" t="s">
        <v>31</v>
      </c>
    </row>
    <row r="93" spans="1:11" x14ac:dyDescent="0.35">
      <c r="A93" t="s">
        <v>131</v>
      </c>
      <c r="B93" t="s">
        <v>39</v>
      </c>
      <c r="C93" s="1">
        <v>44613</v>
      </c>
      <c r="D93" t="s">
        <v>20</v>
      </c>
      <c r="E93" t="s">
        <v>21</v>
      </c>
      <c r="F93" t="s">
        <v>22</v>
      </c>
      <c r="G93" t="s">
        <v>23</v>
      </c>
      <c r="H93">
        <v>65.11</v>
      </c>
      <c r="I93">
        <v>736</v>
      </c>
      <c r="J93">
        <v>47920.959999999999</v>
      </c>
      <c r="K93" t="s">
        <v>17</v>
      </c>
    </row>
    <row r="94" spans="1:11" x14ac:dyDescent="0.35">
      <c r="A94" t="s">
        <v>132</v>
      </c>
      <c r="B94" t="s">
        <v>12</v>
      </c>
      <c r="C94" s="1">
        <v>44820</v>
      </c>
      <c r="D94" t="s">
        <v>27</v>
      </c>
      <c r="E94" t="s">
        <v>28</v>
      </c>
      <c r="F94" t="s">
        <v>29</v>
      </c>
      <c r="G94" t="s">
        <v>30</v>
      </c>
      <c r="H94">
        <v>85.95</v>
      </c>
      <c r="I94">
        <v>847</v>
      </c>
      <c r="J94">
        <v>72799.649999999994</v>
      </c>
      <c r="K94" t="s">
        <v>24</v>
      </c>
    </row>
    <row r="95" spans="1:11" x14ac:dyDescent="0.35">
      <c r="A95" t="s">
        <v>133</v>
      </c>
      <c r="B95" t="s">
        <v>19</v>
      </c>
      <c r="C95" s="1">
        <v>44573</v>
      </c>
      <c r="D95" t="s">
        <v>40</v>
      </c>
      <c r="E95" t="s">
        <v>41</v>
      </c>
      <c r="F95" t="s">
        <v>42</v>
      </c>
      <c r="G95" t="s">
        <v>23</v>
      </c>
      <c r="H95">
        <v>31.41</v>
      </c>
      <c r="I95">
        <v>130</v>
      </c>
      <c r="J95">
        <v>4083.3</v>
      </c>
      <c r="K95" t="s">
        <v>31</v>
      </c>
    </row>
    <row r="96" spans="1:11" x14ac:dyDescent="0.35">
      <c r="A96" t="s">
        <v>134</v>
      </c>
      <c r="B96" t="s">
        <v>26</v>
      </c>
      <c r="C96" s="1">
        <v>44748</v>
      </c>
      <c r="D96" t="s">
        <v>34</v>
      </c>
      <c r="E96" t="s">
        <v>35</v>
      </c>
      <c r="F96" t="s">
        <v>36</v>
      </c>
      <c r="G96" t="s">
        <v>16</v>
      </c>
      <c r="H96">
        <v>63.84</v>
      </c>
      <c r="I96">
        <v>1001</v>
      </c>
      <c r="J96">
        <v>63903.839999999997</v>
      </c>
      <c r="K96" t="s">
        <v>17</v>
      </c>
    </row>
    <row r="97" spans="1:11" x14ac:dyDescent="0.35">
      <c r="A97" t="s">
        <v>135</v>
      </c>
      <c r="B97" t="s">
        <v>33</v>
      </c>
      <c r="C97" s="1">
        <v>44904</v>
      </c>
      <c r="D97" t="s">
        <v>13</v>
      </c>
      <c r="E97" t="s">
        <v>14</v>
      </c>
      <c r="F97" t="s">
        <v>15</v>
      </c>
      <c r="G97" t="s">
        <v>50</v>
      </c>
      <c r="H97">
        <v>30.47</v>
      </c>
      <c r="I97">
        <v>699</v>
      </c>
      <c r="J97">
        <v>21298.53</v>
      </c>
      <c r="K97" t="s">
        <v>24</v>
      </c>
    </row>
    <row r="98" spans="1:11" x14ac:dyDescent="0.35">
      <c r="A98" t="s">
        <v>136</v>
      </c>
      <c r="B98" t="s">
        <v>39</v>
      </c>
      <c r="C98" s="1">
        <v>44604</v>
      </c>
      <c r="D98" t="s">
        <v>20</v>
      </c>
      <c r="E98" t="s">
        <v>21</v>
      </c>
      <c r="F98" t="s">
        <v>22</v>
      </c>
      <c r="G98" t="s">
        <v>44</v>
      </c>
      <c r="H98">
        <v>63.19</v>
      </c>
      <c r="I98">
        <v>367</v>
      </c>
      <c r="J98">
        <v>23190.73</v>
      </c>
      <c r="K98" t="s">
        <v>31</v>
      </c>
    </row>
    <row r="99" spans="1:11" x14ac:dyDescent="0.35">
      <c r="A99" t="s">
        <v>137</v>
      </c>
      <c r="B99" t="s">
        <v>12</v>
      </c>
      <c r="C99" s="1">
        <v>44740</v>
      </c>
      <c r="D99" t="s">
        <v>27</v>
      </c>
      <c r="E99" t="s">
        <v>28</v>
      </c>
      <c r="F99" t="s">
        <v>29</v>
      </c>
      <c r="G99" t="s">
        <v>30</v>
      </c>
      <c r="H99">
        <v>77.78</v>
      </c>
      <c r="I99">
        <v>475</v>
      </c>
      <c r="J99">
        <v>36945.5</v>
      </c>
      <c r="K99" t="s">
        <v>17</v>
      </c>
    </row>
    <row r="100" spans="1:11" x14ac:dyDescent="0.35">
      <c r="A100" t="s">
        <v>138</v>
      </c>
      <c r="B100" t="s">
        <v>19</v>
      </c>
      <c r="C100" s="1">
        <v>44879</v>
      </c>
      <c r="D100" t="s">
        <v>40</v>
      </c>
      <c r="E100" t="s">
        <v>41</v>
      </c>
      <c r="F100" t="s">
        <v>42</v>
      </c>
      <c r="G100" t="s">
        <v>37</v>
      </c>
      <c r="H100">
        <v>21.92</v>
      </c>
      <c r="I100">
        <v>810</v>
      </c>
      <c r="J100">
        <v>17755.2</v>
      </c>
      <c r="K100" t="s">
        <v>24</v>
      </c>
    </row>
    <row r="101" spans="1:11" x14ac:dyDescent="0.35">
      <c r="A101" t="s">
        <v>139</v>
      </c>
      <c r="B101" t="s">
        <v>26</v>
      </c>
      <c r="C101" s="1">
        <v>44668</v>
      </c>
      <c r="D101" t="s">
        <v>34</v>
      </c>
      <c r="E101" t="s">
        <v>48</v>
      </c>
      <c r="F101" t="s">
        <v>49</v>
      </c>
      <c r="G101" t="s">
        <v>16</v>
      </c>
      <c r="H101">
        <v>73.97</v>
      </c>
      <c r="I101">
        <v>1034</v>
      </c>
      <c r="J101">
        <v>76484.98</v>
      </c>
      <c r="K101" t="s">
        <v>31</v>
      </c>
    </row>
    <row r="102" spans="1:11" x14ac:dyDescent="0.35">
      <c r="A102" t="s">
        <v>140</v>
      </c>
      <c r="B102" t="s">
        <v>33</v>
      </c>
      <c r="C102" s="1">
        <v>44805</v>
      </c>
      <c r="D102" t="s">
        <v>13</v>
      </c>
      <c r="E102" t="s">
        <v>14</v>
      </c>
      <c r="F102" t="s">
        <v>15</v>
      </c>
      <c r="G102" t="s">
        <v>30</v>
      </c>
      <c r="H102">
        <v>34.46</v>
      </c>
      <c r="I102">
        <v>832</v>
      </c>
      <c r="J102">
        <v>28670.720000000001</v>
      </c>
      <c r="K102" t="s">
        <v>17</v>
      </c>
    </row>
    <row r="103" spans="1:11" x14ac:dyDescent="0.35">
      <c r="A103" t="s">
        <v>141</v>
      </c>
      <c r="B103" t="s">
        <v>39</v>
      </c>
      <c r="C103" s="1">
        <v>44944</v>
      </c>
      <c r="D103" t="s">
        <v>20</v>
      </c>
      <c r="E103" t="s">
        <v>21</v>
      </c>
      <c r="F103" t="s">
        <v>22</v>
      </c>
      <c r="G103" t="s">
        <v>23</v>
      </c>
      <c r="H103">
        <v>84.87</v>
      </c>
      <c r="I103">
        <v>1010</v>
      </c>
      <c r="J103">
        <v>85718.7</v>
      </c>
      <c r="K103" t="s">
        <v>24</v>
      </c>
    </row>
    <row r="104" spans="1:11" x14ac:dyDescent="0.35">
      <c r="A104" t="s">
        <v>142</v>
      </c>
      <c r="B104" t="s">
        <v>12</v>
      </c>
      <c r="C104" s="1">
        <v>44797</v>
      </c>
      <c r="D104" t="s">
        <v>27</v>
      </c>
      <c r="E104" t="s">
        <v>28</v>
      </c>
      <c r="F104" t="s">
        <v>29</v>
      </c>
      <c r="G104" t="s">
        <v>30</v>
      </c>
      <c r="H104">
        <v>15.89</v>
      </c>
      <c r="I104">
        <v>245</v>
      </c>
      <c r="J104">
        <v>3893.05</v>
      </c>
      <c r="K104" t="s">
        <v>31</v>
      </c>
    </row>
    <row r="105" spans="1:11" x14ac:dyDescent="0.35">
      <c r="A105" t="s">
        <v>143</v>
      </c>
      <c r="B105" t="s">
        <v>19</v>
      </c>
      <c r="C105" s="1">
        <v>44632</v>
      </c>
      <c r="D105" t="s">
        <v>40</v>
      </c>
      <c r="E105" t="s">
        <v>41</v>
      </c>
      <c r="F105" t="s">
        <v>42</v>
      </c>
      <c r="G105" t="s">
        <v>50</v>
      </c>
      <c r="H105">
        <v>78.48</v>
      </c>
      <c r="I105">
        <v>74</v>
      </c>
      <c r="J105">
        <v>5807.52</v>
      </c>
      <c r="K105" t="s">
        <v>17</v>
      </c>
    </row>
    <row r="106" spans="1:11" x14ac:dyDescent="0.35">
      <c r="A106" t="s">
        <v>144</v>
      </c>
      <c r="B106" t="s">
        <v>26</v>
      </c>
      <c r="C106" s="1">
        <v>44580</v>
      </c>
      <c r="D106" t="s">
        <v>34</v>
      </c>
      <c r="E106" t="s">
        <v>35</v>
      </c>
      <c r="F106" t="s">
        <v>36</v>
      </c>
      <c r="G106" t="s">
        <v>37</v>
      </c>
      <c r="H106">
        <v>55.93</v>
      </c>
      <c r="I106">
        <v>317</v>
      </c>
      <c r="J106">
        <v>17729.810000000001</v>
      </c>
      <c r="K106" t="s">
        <v>24</v>
      </c>
    </row>
    <row r="107" spans="1:11" x14ac:dyDescent="0.35">
      <c r="A107" t="s">
        <v>145</v>
      </c>
      <c r="B107" t="s">
        <v>33</v>
      </c>
      <c r="C107" s="1">
        <v>44850</v>
      </c>
      <c r="D107" t="s">
        <v>13</v>
      </c>
      <c r="E107" t="s">
        <v>14</v>
      </c>
      <c r="F107" t="s">
        <v>15</v>
      </c>
      <c r="G107" t="s">
        <v>44</v>
      </c>
      <c r="H107">
        <v>31.42</v>
      </c>
      <c r="I107">
        <v>1141</v>
      </c>
      <c r="J107">
        <v>35850.22</v>
      </c>
      <c r="K107" t="s">
        <v>31</v>
      </c>
    </row>
    <row r="108" spans="1:11" x14ac:dyDescent="0.35">
      <c r="A108" t="s">
        <v>146</v>
      </c>
      <c r="B108" t="s">
        <v>39</v>
      </c>
      <c r="C108" s="1">
        <v>44704</v>
      </c>
      <c r="D108" t="s">
        <v>20</v>
      </c>
      <c r="E108" t="s">
        <v>21</v>
      </c>
      <c r="F108" t="s">
        <v>22</v>
      </c>
      <c r="G108" t="s">
        <v>30</v>
      </c>
      <c r="H108">
        <v>73.64</v>
      </c>
      <c r="I108">
        <v>1154</v>
      </c>
      <c r="J108">
        <v>84980.56</v>
      </c>
      <c r="K108" t="s">
        <v>17</v>
      </c>
    </row>
    <row r="109" spans="1:11" x14ac:dyDescent="0.35">
      <c r="A109" t="s">
        <v>147</v>
      </c>
      <c r="B109" t="s">
        <v>12</v>
      </c>
      <c r="C109" s="1">
        <v>44900</v>
      </c>
      <c r="D109" t="s">
        <v>27</v>
      </c>
      <c r="E109" t="s">
        <v>28</v>
      </c>
      <c r="F109" t="s">
        <v>29</v>
      </c>
      <c r="G109" t="s">
        <v>44</v>
      </c>
      <c r="H109">
        <v>56.66</v>
      </c>
      <c r="I109">
        <v>157</v>
      </c>
      <c r="J109">
        <v>8895.6200000000008</v>
      </c>
      <c r="K109" t="s">
        <v>24</v>
      </c>
    </row>
    <row r="110" spans="1:11" x14ac:dyDescent="0.35">
      <c r="A110" t="s">
        <v>148</v>
      </c>
      <c r="B110" t="s">
        <v>19</v>
      </c>
      <c r="C110" s="1">
        <v>44733</v>
      </c>
      <c r="D110" t="s">
        <v>40</v>
      </c>
      <c r="E110" t="s">
        <v>41</v>
      </c>
      <c r="F110" t="s">
        <v>42</v>
      </c>
      <c r="G110" t="s">
        <v>30</v>
      </c>
      <c r="H110">
        <v>40.340000000000003</v>
      </c>
      <c r="I110">
        <v>754</v>
      </c>
      <c r="J110">
        <v>30416.36</v>
      </c>
      <c r="K110" t="s">
        <v>31</v>
      </c>
    </row>
    <row r="111" spans="1:11" x14ac:dyDescent="0.35">
      <c r="A111" t="s">
        <v>149</v>
      </c>
      <c r="B111" t="s">
        <v>26</v>
      </c>
      <c r="C111" s="1">
        <v>44870</v>
      </c>
      <c r="D111" t="s">
        <v>34</v>
      </c>
      <c r="E111" t="s">
        <v>48</v>
      </c>
      <c r="F111" t="s">
        <v>49</v>
      </c>
      <c r="G111" t="s">
        <v>23</v>
      </c>
      <c r="H111">
        <v>74.760000000000005</v>
      </c>
      <c r="I111">
        <v>741</v>
      </c>
      <c r="J111">
        <v>55397.16</v>
      </c>
      <c r="K111" t="s">
        <v>17</v>
      </c>
    </row>
    <row r="112" spans="1:11" x14ac:dyDescent="0.35">
      <c r="A112" t="s">
        <v>150</v>
      </c>
      <c r="B112" t="s">
        <v>33</v>
      </c>
      <c r="C112" s="1">
        <v>44676</v>
      </c>
      <c r="D112" t="s">
        <v>13</v>
      </c>
      <c r="E112" t="s">
        <v>14</v>
      </c>
      <c r="F112" t="s">
        <v>15</v>
      </c>
      <c r="G112" t="s">
        <v>16</v>
      </c>
      <c r="H112">
        <v>31.48</v>
      </c>
      <c r="I112">
        <v>874</v>
      </c>
      <c r="J112">
        <v>27513.52</v>
      </c>
      <c r="K112" t="s">
        <v>24</v>
      </c>
    </row>
    <row r="113" spans="1:11" x14ac:dyDescent="0.35">
      <c r="A113" t="s">
        <v>151</v>
      </c>
      <c r="B113" t="s">
        <v>39</v>
      </c>
      <c r="C113" s="1">
        <v>44802</v>
      </c>
      <c r="D113" t="s">
        <v>20</v>
      </c>
      <c r="E113" t="s">
        <v>21</v>
      </c>
      <c r="F113" t="s">
        <v>22</v>
      </c>
      <c r="G113" t="s">
        <v>30</v>
      </c>
      <c r="H113">
        <v>59.66</v>
      </c>
      <c r="I113">
        <v>1059</v>
      </c>
      <c r="J113">
        <v>63179.94</v>
      </c>
      <c r="K113" t="s">
        <v>31</v>
      </c>
    </row>
    <row r="114" spans="1:11" x14ac:dyDescent="0.35">
      <c r="A114" t="s">
        <v>152</v>
      </c>
      <c r="B114" t="s">
        <v>12</v>
      </c>
      <c r="C114" s="1">
        <v>44607</v>
      </c>
      <c r="D114" t="s">
        <v>27</v>
      </c>
      <c r="E114" t="s">
        <v>28</v>
      </c>
      <c r="F114" t="s">
        <v>29</v>
      </c>
      <c r="G114" t="s">
        <v>37</v>
      </c>
      <c r="H114">
        <v>15.72</v>
      </c>
      <c r="I114">
        <v>742</v>
      </c>
      <c r="J114">
        <v>11664.24</v>
      </c>
      <c r="K114" t="s">
        <v>17</v>
      </c>
    </row>
    <row r="115" spans="1:11" x14ac:dyDescent="0.35">
      <c r="A115" t="s">
        <v>153</v>
      </c>
      <c r="B115" t="s">
        <v>19</v>
      </c>
      <c r="C115" s="1">
        <v>44807</v>
      </c>
      <c r="D115" t="s">
        <v>40</v>
      </c>
      <c r="E115" t="s">
        <v>41</v>
      </c>
      <c r="F115" t="s">
        <v>42</v>
      </c>
      <c r="G115" t="s">
        <v>30</v>
      </c>
      <c r="H115">
        <v>43.55</v>
      </c>
      <c r="I115">
        <v>1168</v>
      </c>
      <c r="J115">
        <v>50866.400000000001</v>
      </c>
      <c r="K115" t="s">
        <v>24</v>
      </c>
    </row>
    <row r="116" spans="1:11" x14ac:dyDescent="0.35">
      <c r="A116" t="s">
        <v>154</v>
      </c>
      <c r="B116" t="s">
        <v>26</v>
      </c>
      <c r="C116" s="1">
        <v>44894</v>
      </c>
      <c r="D116" t="s">
        <v>34</v>
      </c>
      <c r="E116" t="s">
        <v>35</v>
      </c>
      <c r="F116" t="s">
        <v>36</v>
      </c>
      <c r="G116" t="s">
        <v>50</v>
      </c>
      <c r="H116">
        <v>69.34</v>
      </c>
      <c r="I116">
        <v>394</v>
      </c>
      <c r="J116">
        <v>27319.96</v>
      </c>
      <c r="K116" t="s">
        <v>31</v>
      </c>
    </row>
    <row r="117" spans="1:11" x14ac:dyDescent="0.35">
      <c r="A117" t="s">
        <v>155</v>
      </c>
      <c r="B117" t="s">
        <v>33</v>
      </c>
      <c r="C117" s="1">
        <v>44695</v>
      </c>
      <c r="D117" t="s">
        <v>13</v>
      </c>
      <c r="E117" t="s">
        <v>14</v>
      </c>
      <c r="F117" t="s">
        <v>15</v>
      </c>
      <c r="G117" t="s">
        <v>44</v>
      </c>
      <c r="H117">
        <v>87.02</v>
      </c>
      <c r="I117">
        <v>531</v>
      </c>
      <c r="J117">
        <v>46207.62</v>
      </c>
      <c r="K117" t="s">
        <v>17</v>
      </c>
    </row>
    <row r="118" spans="1:11" x14ac:dyDescent="0.35">
      <c r="A118" t="s">
        <v>156</v>
      </c>
      <c r="B118" t="s">
        <v>39</v>
      </c>
      <c r="C118" s="1">
        <v>44599</v>
      </c>
      <c r="D118" t="s">
        <v>20</v>
      </c>
      <c r="E118" t="s">
        <v>21</v>
      </c>
      <c r="F118" t="s">
        <v>22</v>
      </c>
      <c r="G118" t="s">
        <v>30</v>
      </c>
      <c r="H118">
        <v>29.44</v>
      </c>
      <c r="I118">
        <v>456</v>
      </c>
      <c r="J118">
        <v>13424.64</v>
      </c>
      <c r="K118" t="s">
        <v>24</v>
      </c>
    </row>
    <row r="119" spans="1:11" x14ac:dyDescent="0.35">
      <c r="A119" t="s">
        <v>157</v>
      </c>
      <c r="B119" t="s">
        <v>12</v>
      </c>
      <c r="C119" s="1">
        <v>44830</v>
      </c>
      <c r="D119" t="s">
        <v>27</v>
      </c>
      <c r="E119" t="s">
        <v>28</v>
      </c>
      <c r="F119" t="s">
        <v>29</v>
      </c>
      <c r="G119" t="s">
        <v>23</v>
      </c>
      <c r="H119">
        <v>22.32</v>
      </c>
      <c r="I119">
        <v>932</v>
      </c>
      <c r="J119">
        <v>20802.240000000002</v>
      </c>
      <c r="K119" t="s">
        <v>31</v>
      </c>
    </row>
    <row r="120" spans="1:11" x14ac:dyDescent="0.35">
      <c r="A120" t="s">
        <v>158</v>
      </c>
      <c r="B120" t="s">
        <v>19</v>
      </c>
      <c r="C120" s="1">
        <v>44874</v>
      </c>
      <c r="D120" t="s">
        <v>40</v>
      </c>
      <c r="E120" t="s">
        <v>41</v>
      </c>
      <c r="F120" t="s">
        <v>42</v>
      </c>
      <c r="G120" t="s">
        <v>37</v>
      </c>
      <c r="H120">
        <v>76.430000000000007</v>
      </c>
      <c r="I120">
        <v>922</v>
      </c>
      <c r="J120">
        <v>70468.460000000006</v>
      </c>
      <c r="K120" t="s">
        <v>17</v>
      </c>
    </row>
    <row r="121" spans="1:11" x14ac:dyDescent="0.35">
      <c r="A121" t="s">
        <v>159</v>
      </c>
      <c r="B121" t="s">
        <v>26</v>
      </c>
      <c r="C121" s="1">
        <v>44642</v>
      </c>
      <c r="D121" t="s">
        <v>34</v>
      </c>
      <c r="E121" t="s">
        <v>48</v>
      </c>
      <c r="F121" t="s">
        <v>49</v>
      </c>
      <c r="G121" t="s">
        <v>30</v>
      </c>
      <c r="H121">
        <v>38.93</v>
      </c>
      <c r="I121">
        <v>317</v>
      </c>
      <c r="J121">
        <v>12340.81</v>
      </c>
      <c r="K121" t="s">
        <v>24</v>
      </c>
    </row>
    <row r="122" spans="1:11" x14ac:dyDescent="0.35">
      <c r="A122" t="s">
        <v>160</v>
      </c>
      <c r="B122" t="s">
        <v>33</v>
      </c>
      <c r="C122" s="1">
        <v>44752</v>
      </c>
      <c r="D122" t="s">
        <v>13</v>
      </c>
      <c r="E122" t="s">
        <v>14</v>
      </c>
      <c r="F122" t="s">
        <v>15</v>
      </c>
      <c r="G122" t="s">
        <v>16</v>
      </c>
      <c r="H122">
        <v>64.23</v>
      </c>
      <c r="I122">
        <v>1084</v>
      </c>
      <c r="J122">
        <v>69625.320000000007</v>
      </c>
      <c r="K122" t="s">
        <v>31</v>
      </c>
    </row>
    <row r="123" spans="1:11" x14ac:dyDescent="0.35">
      <c r="A123" t="s">
        <v>161</v>
      </c>
      <c r="B123" t="s">
        <v>39</v>
      </c>
      <c r="C123" s="1">
        <v>44867</v>
      </c>
      <c r="D123" t="s">
        <v>20</v>
      </c>
      <c r="E123" t="s">
        <v>21</v>
      </c>
      <c r="F123" t="s">
        <v>22</v>
      </c>
      <c r="G123" t="s">
        <v>23</v>
      </c>
      <c r="H123">
        <v>28.97</v>
      </c>
      <c r="I123">
        <v>697</v>
      </c>
      <c r="J123">
        <v>20192.09</v>
      </c>
      <c r="K123" t="s">
        <v>17</v>
      </c>
    </row>
    <row r="124" spans="1:11" x14ac:dyDescent="0.35">
      <c r="A124" t="s">
        <v>162</v>
      </c>
      <c r="B124" t="s">
        <v>12</v>
      </c>
      <c r="C124" s="1">
        <v>44665</v>
      </c>
      <c r="D124" t="s">
        <v>27</v>
      </c>
      <c r="E124" t="s">
        <v>28</v>
      </c>
      <c r="F124" t="s">
        <v>29</v>
      </c>
      <c r="G124" t="s">
        <v>37</v>
      </c>
      <c r="H124">
        <v>78.55</v>
      </c>
      <c r="I124">
        <v>808</v>
      </c>
      <c r="J124">
        <v>63468.4</v>
      </c>
      <c r="K124" t="s">
        <v>24</v>
      </c>
    </row>
    <row r="125" spans="1:11" x14ac:dyDescent="0.35">
      <c r="A125" t="s">
        <v>163</v>
      </c>
      <c r="B125" t="s">
        <v>19</v>
      </c>
      <c r="C125" s="1">
        <v>44780</v>
      </c>
      <c r="D125" t="s">
        <v>40</v>
      </c>
      <c r="E125" t="s">
        <v>41</v>
      </c>
      <c r="F125" t="s">
        <v>42</v>
      </c>
      <c r="G125" t="s">
        <v>16</v>
      </c>
      <c r="H125">
        <v>42.17</v>
      </c>
      <c r="I125">
        <v>186</v>
      </c>
      <c r="J125">
        <v>7843.62</v>
      </c>
      <c r="K125" t="s">
        <v>31</v>
      </c>
    </row>
    <row r="126" spans="1:11" x14ac:dyDescent="0.35">
      <c r="A126" t="s">
        <v>164</v>
      </c>
      <c r="B126" t="s">
        <v>26</v>
      </c>
      <c r="C126" s="1">
        <v>44921</v>
      </c>
      <c r="D126" t="s">
        <v>34</v>
      </c>
      <c r="E126" t="s">
        <v>35</v>
      </c>
      <c r="F126" t="s">
        <v>36</v>
      </c>
      <c r="G126" t="s">
        <v>50</v>
      </c>
      <c r="H126">
        <v>16.079999999999998</v>
      </c>
      <c r="I126">
        <v>695</v>
      </c>
      <c r="J126">
        <v>11175.6</v>
      </c>
      <c r="K126" t="s">
        <v>17</v>
      </c>
    </row>
    <row r="127" spans="1:11" x14ac:dyDescent="0.35">
      <c r="A127" t="s">
        <v>165</v>
      </c>
      <c r="B127" t="s">
        <v>33</v>
      </c>
      <c r="C127" s="1">
        <v>44721</v>
      </c>
      <c r="D127" t="s">
        <v>13</v>
      </c>
      <c r="E127" t="s">
        <v>14</v>
      </c>
      <c r="F127" t="s">
        <v>15</v>
      </c>
      <c r="G127" t="s">
        <v>44</v>
      </c>
      <c r="H127">
        <v>72.47</v>
      </c>
      <c r="I127">
        <v>565</v>
      </c>
      <c r="J127">
        <v>40945.550000000003</v>
      </c>
      <c r="K127" t="s">
        <v>24</v>
      </c>
    </row>
    <row r="128" spans="1:11" x14ac:dyDescent="0.35">
      <c r="A128" t="s">
        <v>166</v>
      </c>
      <c r="B128" t="s">
        <v>39</v>
      </c>
      <c r="C128" s="1">
        <v>44619</v>
      </c>
      <c r="D128" t="s">
        <v>20</v>
      </c>
      <c r="E128" t="s">
        <v>21</v>
      </c>
      <c r="F128" t="s">
        <v>22</v>
      </c>
      <c r="G128" t="s">
        <v>30</v>
      </c>
      <c r="H128">
        <v>31.55</v>
      </c>
      <c r="I128">
        <v>351</v>
      </c>
      <c r="J128">
        <v>11074.05</v>
      </c>
      <c r="K128" t="s">
        <v>31</v>
      </c>
    </row>
    <row r="129" spans="1:11" x14ac:dyDescent="0.35">
      <c r="A129" t="s">
        <v>167</v>
      </c>
      <c r="B129" t="s">
        <v>12</v>
      </c>
      <c r="C129" s="1">
        <v>44837</v>
      </c>
      <c r="D129" t="s">
        <v>27</v>
      </c>
      <c r="E129" t="s">
        <v>28</v>
      </c>
      <c r="F129" t="s">
        <v>29</v>
      </c>
      <c r="G129" t="s">
        <v>44</v>
      </c>
      <c r="H129">
        <v>86.42</v>
      </c>
      <c r="I129">
        <v>570</v>
      </c>
      <c r="J129">
        <v>49259.4</v>
      </c>
      <c r="K129" t="s">
        <v>17</v>
      </c>
    </row>
    <row r="130" spans="1:11" x14ac:dyDescent="0.35">
      <c r="A130" t="s">
        <v>168</v>
      </c>
      <c r="B130" t="s">
        <v>19</v>
      </c>
      <c r="C130" s="1">
        <v>44566</v>
      </c>
      <c r="D130" t="s">
        <v>40</v>
      </c>
      <c r="E130" t="s">
        <v>41</v>
      </c>
      <c r="F130" t="s">
        <v>42</v>
      </c>
      <c r="G130" t="s">
        <v>30</v>
      </c>
      <c r="H130">
        <v>55.66</v>
      </c>
      <c r="I130">
        <v>1037</v>
      </c>
      <c r="J130">
        <v>57719.42</v>
      </c>
      <c r="K130" t="s">
        <v>24</v>
      </c>
    </row>
    <row r="131" spans="1:11" x14ac:dyDescent="0.35">
      <c r="A131" t="s">
        <v>169</v>
      </c>
      <c r="B131" t="s">
        <v>26</v>
      </c>
      <c r="C131" s="1">
        <v>44772</v>
      </c>
      <c r="D131" t="s">
        <v>34</v>
      </c>
      <c r="E131" t="s">
        <v>48</v>
      </c>
      <c r="F131" t="s">
        <v>49</v>
      </c>
      <c r="G131" t="s">
        <v>37</v>
      </c>
      <c r="H131">
        <v>29.33</v>
      </c>
      <c r="I131">
        <v>587</v>
      </c>
      <c r="J131">
        <v>17216.71</v>
      </c>
      <c r="K131" t="s">
        <v>31</v>
      </c>
    </row>
    <row r="132" spans="1:11" x14ac:dyDescent="0.35">
      <c r="A132" t="s">
        <v>170</v>
      </c>
      <c r="B132" t="s">
        <v>33</v>
      </c>
      <c r="C132" s="1">
        <v>44637</v>
      </c>
      <c r="D132" t="s">
        <v>13</v>
      </c>
      <c r="E132" t="s">
        <v>14</v>
      </c>
      <c r="F132" t="s">
        <v>15</v>
      </c>
      <c r="G132" t="s">
        <v>16</v>
      </c>
      <c r="H132">
        <v>47.95</v>
      </c>
      <c r="I132">
        <v>869</v>
      </c>
      <c r="J132">
        <v>41668.550000000003</v>
      </c>
      <c r="K132" t="s">
        <v>17</v>
      </c>
    </row>
    <row r="133" spans="1:11" x14ac:dyDescent="0.35">
      <c r="A133" t="s">
        <v>171</v>
      </c>
      <c r="B133" t="s">
        <v>39</v>
      </c>
      <c r="C133" s="1">
        <v>44884</v>
      </c>
      <c r="D133" t="s">
        <v>20</v>
      </c>
      <c r="E133" t="s">
        <v>21</v>
      </c>
      <c r="F133" t="s">
        <v>22</v>
      </c>
      <c r="G133" t="s">
        <v>23</v>
      </c>
      <c r="H133">
        <v>63.41</v>
      </c>
      <c r="I133">
        <v>1063</v>
      </c>
      <c r="J133">
        <v>67404.83</v>
      </c>
      <c r="K133" t="s">
        <v>24</v>
      </c>
    </row>
    <row r="134" spans="1:11" x14ac:dyDescent="0.35">
      <c r="A134" t="s">
        <v>172</v>
      </c>
      <c r="B134" t="s">
        <v>12</v>
      </c>
      <c r="C134" s="1">
        <v>44688</v>
      </c>
      <c r="D134" t="s">
        <v>27</v>
      </c>
      <c r="E134" t="s">
        <v>28</v>
      </c>
      <c r="F134" t="s">
        <v>29</v>
      </c>
      <c r="G134" t="s">
        <v>30</v>
      </c>
      <c r="H134">
        <v>82.86</v>
      </c>
      <c r="I134">
        <v>568</v>
      </c>
      <c r="J134">
        <v>47064.480000000003</v>
      </c>
      <c r="K134" t="s">
        <v>31</v>
      </c>
    </row>
    <row r="135" spans="1:11" x14ac:dyDescent="0.35">
      <c r="A135" t="s">
        <v>173</v>
      </c>
      <c r="B135" t="s">
        <v>19</v>
      </c>
      <c r="C135" s="1">
        <v>44865</v>
      </c>
      <c r="D135" t="s">
        <v>40</v>
      </c>
      <c r="E135" t="s">
        <v>41</v>
      </c>
      <c r="F135" t="s">
        <v>42</v>
      </c>
      <c r="G135" t="s">
        <v>37</v>
      </c>
      <c r="H135">
        <v>39.51</v>
      </c>
      <c r="I135">
        <v>685</v>
      </c>
      <c r="J135">
        <v>27064.35</v>
      </c>
      <c r="K135" t="s">
        <v>17</v>
      </c>
    </row>
    <row r="136" spans="1:11" x14ac:dyDescent="0.35">
      <c r="A136" t="s">
        <v>174</v>
      </c>
      <c r="B136" t="s">
        <v>26</v>
      </c>
      <c r="C136" s="1">
        <v>44583</v>
      </c>
      <c r="D136" t="s">
        <v>34</v>
      </c>
      <c r="E136" t="s">
        <v>35</v>
      </c>
      <c r="F136" t="s">
        <v>36</v>
      </c>
      <c r="G136" t="s">
        <v>16</v>
      </c>
      <c r="H136">
        <v>29.09</v>
      </c>
      <c r="I136">
        <v>592</v>
      </c>
      <c r="J136">
        <v>17221.28</v>
      </c>
      <c r="K136" t="s">
        <v>24</v>
      </c>
    </row>
    <row r="137" spans="1:11" x14ac:dyDescent="0.35">
      <c r="A137" t="s">
        <v>175</v>
      </c>
      <c r="B137" t="s">
        <v>33</v>
      </c>
      <c r="C137" s="1">
        <v>44726</v>
      </c>
      <c r="D137" t="s">
        <v>13</v>
      </c>
      <c r="E137" t="s">
        <v>14</v>
      </c>
      <c r="F137" t="s">
        <v>15</v>
      </c>
      <c r="G137" t="s">
        <v>44</v>
      </c>
      <c r="H137">
        <v>91.78</v>
      </c>
      <c r="I137">
        <v>423</v>
      </c>
      <c r="J137">
        <v>38822.94</v>
      </c>
      <c r="K137" t="s">
        <v>31</v>
      </c>
    </row>
    <row r="138" spans="1:11" x14ac:dyDescent="0.35">
      <c r="A138" t="s">
        <v>176</v>
      </c>
      <c r="B138" t="s">
        <v>39</v>
      </c>
      <c r="C138" s="1">
        <v>44878</v>
      </c>
      <c r="D138" t="s">
        <v>20</v>
      </c>
      <c r="E138" t="s">
        <v>21</v>
      </c>
      <c r="F138" t="s">
        <v>22</v>
      </c>
      <c r="G138" t="s">
        <v>30</v>
      </c>
      <c r="H138">
        <v>62.55</v>
      </c>
      <c r="I138">
        <v>721</v>
      </c>
      <c r="J138">
        <v>45098.55</v>
      </c>
      <c r="K138" t="s">
        <v>17</v>
      </c>
    </row>
    <row r="139" spans="1:11" x14ac:dyDescent="0.35">
      <c r="A139" t="s">
        <v>177</v>
      </c>
      <c r="B139" t="s">
        <v>12</v>
      </c>
      <c r="C139" s="1">
        <v>44595</v>
      </c>
      <c r="D139" t="s">
        <v>27</v>
      </c>
      <c r="E139" t="s">
        <v>28</v>
      </c>
      <c r="F139" t="s">
        <v>29</v>
      </c>
      <c r="G139" t="s">
        <v>37</v>
      </c>
      <c r="H139">
        <v>26.37</v>
      </c>
      <c r="I139">
        <v>780</v>
      </c>
      <c r="J139">
        <v>20568.599999999999</v>
      </c>
      <c r="K139" t="s">
        <v>24</v>
      </c>
    </row>
    <row r="140" spans="1:11" x14ac:dyDescent="0.35">
      <c r="A140" t="s">
        <v>178</v>
      </c>
      <c r="B140" t="s">
        <v>19</v>
      </c>
      <c r="C140" s="1">
        <v>44824</v>
      </c>
      <c r="D140" t="s">
        <v>40</v>
      </c>
      <c r="E140" t="s">
        <v>41</v>
      </c>
      <c r="F140" t="s">
        <v>42</v>
      </c>
      <c r="G140" t="s">
        <v>30</v>
      </c>
      <c r="H140">
        <v>35.119999999999997</v>
      </c>
      <c r="I140">
        <v>1122</v>
      </c>
      <c r="J140">
        <v>39404.639999999999</v>
      </c>
      <c r="K140" t="s">
        <v>31</v>
      </c>
    </row>
    <row r="141" spans="1:11" x14ac:dyDescent="0.35">
      <c r="A141" t="s">
        <v>179</v>
      </c>
      <c r="B141" t="s">
        <v>26</v>
      </c>
      <c r="C141" s="1">
        <v>44902</v>
      </c>
      <c r="D141" t="s">
        <v>34</v>
      </c>
      <c r="E141" t="s">
        <v>48</v>
      </c>
      <c r="F141" t="s">
        <v>49</v>
      </c>
      <c r="G141" t="s">
        <v>23</v>
      </c>
      <c r="H141">
        <v>71.81</v>
      </c>
      <c r="I141">
        <v>710</v>
      </c>
      <c r="J141">
        <v>50985.1</v>
      </c>
      <c r="K141" t="s">
        <v>17</v>
      </c>
    </row>
    <row r="142" spans="1:11" x14ac:dyDescent="0.35">
      <c r="A142" t="s">
        <v>180</v>
      </c>
      <c r="B142" t="s">
        <v>33</v>
      </c>
      <c r="C142" s="1">
        <v>44672</v>
      </c>
      <c r="D142" t="s">
        <v>13</v>
      </c>
      <c r="E142" t="s">
        <v>14</v>
      </c>
      <c r="F142" t="s">
        <v>15</v>
      </c>
      <c r="G142" t="s">
        <v>16</v>
      </c>
      <c r="H142">
        <v>27.89</v>
      </c>
      <c r="I142">
        <v>616</v>
      </c>
      <c r="J142">
        <v>17180.240000000002</v>
      </c>
      <c r="K142" t="s">
        <v>24</v>
      </c>
    </row>
    <row r="143" spans="1:11" x14ac:dyDescent="0.35">
      <c r="A143" t="s">
        <v>181</v>
      </c>
      <c r="B143" t="s">
        <v>39</v>
      </c>
      <c r="C143" s="1">
        <v>44789</v>
      </c>
      <c r="D143" t="s">
        <v>20</v>
      </c>
      <c r="E143" t="s">
        <v>21</v>
      </c>
      <c r="F143" t="s">
        <v>22</v>
      </c>
      <c r="G143" t="s">
        <v>50</v>
      </c>
      <c r="H143">
        <v>67.72</v>
      </c>
      <c r="I143">
        <v>725</v>
      </c>
      <c r="J143">
        <v>49097</v>
      </c>
      <c r="K143" t="s">
        <v>31</v>
      </c>
    </row>
    <row r="144" spans="1:11" x14ac:dyDescent="0.35">
      <c r="A144" t="s">
        <v>182</v>
      </c>
      <c r="B144" t="s">
        <v>12</v>
      </c>
      <c r="C144" s="1">
        <v>44923</v>
      </c>
      <c r="D144" t="s">
        <v>27</v>
      </c>
      <c r="E144" t="s">
        <v>28</v>
      </c>
      <c r="F144" t="s">
        <v>29</v>
      </c>
      <c r="G144" t="s">
        <v>30</v>
      </c>
      <c r="H144">
        <v>24.48</v>
      </c>
      <c r="I144">
        <v>848</v>
      </c>
      <c r="J144">
        <v>20759.04</v>
      </c>
      <c r="K144" t="s">
        <v>17</v>
      </c>
    </row>
    <row r="145" spans="1:11" x14ac:dyDescent="0.35">
      <c r="A145" t="s">
        <v>183</v>
      </c>
      <c r="B145" t="s">
        <v>19</v>
      </c>
      <c r="C145" s="1">
        <v>44698</v>
      </c>
      <c r="D145" t="s">
        <v>40</v>
      </c>
      <c r="E145" t="s">
        <v>41</v>
      </c>
      <c r="F145" t="s">
        <v>42</v>
      </c>
      <c r="G145" t="s">
        <v>44</v>
      </c>
      <c r="H145">
        <v>75.19</v>
      </c>
      <c r="I145">
        <v>1093</v>
      </c>
      <c r="J145">
        <v>82182.67</v>
      </c>
      <c r="K145" t="s">
        <v>24</v>
      </c>
    </row>
    <row r="146" spans="1:11" x14ac:dyDescent="0.35">
      <c r="A146" t="s">
        <v>184</v>
      </c>
      <c r="B146" t="s">
        <v>26</v>
      </c>
      <c r="C146" s="1">
        <v>44842</v>
      </c>
      <c r="D146" t="s">
        <v>34</v>
      </c>
      <c r="E146" t="s">
        <v>35</v>
      </c>
      <c r="F146" t="s">
        <v>36</v>
      </c>
      <c r="G146" t="s">
        <v>37</v>
      </c>
      <c r="H146">
        <v>50.65</v>
      </c>
      <c r="I146">
        <v>297</v>
      </c>
      <c r="J146">
        <v>15043.05</v>
      </c>
      <c r="K146" t="s">
        <v>31</v>
      </c>
    </row>
    <row r="147" spans="1:11" x14ac:dyDescent="0.35">
      <c r="A147" t="s">
        <v>185</v>
      </c>
      <c r="B147" t="s">
        <v>33</v>
      </c>
      <c r="C147" s="1">
        <v>44675</v>
      </c>
      <c r="D147" t="s">
        <v>13</v>
      </c>
      <c r="E147" t="s">
        <v>14</v>
      </c>
      <c r="F147" t="s">
        <v>15</v>
      </c>
      <c r="G147" t="s">
        <v>16</v>
      </c>
      <c r="H147">
        <v>30.26</v>
      </c>
      <c r="I147">
        <v>812</v>
      </c>
      <c r="J147">
        <v>24571.119999999999</v>
      </c>
      <c r="K147" t="s">
        <v>17</v>
      </c>
    </row>
    <row r="148" spans="1:11" x14ac:dyDescent="0.35">
      <c r="A148" t="s">
        <v>186</v>
      </c>
      <c r="B148" t="s">
        <v>39</v>
      </c>
      <c r="C148" s="1">
        <v>44784</v>
      </c>
      <c r="D148" t="s">
        <v>20</v>
      </c>
      <c r="E148" t="s">
        <v>21</v>
      </c>
      <c r="F148" t="s">
        <v>22</v>
      </c>
      <c r="G148" t="s">
        <v>23</v>
      </c>
      <c r="H148">
        <v>72.37</v>
      </c>
      <c r="I148">
        <v>1052</v>
      </c>
      <c r="J148">
        <v>76133.240000000005</v>
      </c>
      <c r="K148" t="s">
        <v>24</v>
      </c>
    </row>
    <row r="149" spans="1:11" x14ac:dyDescent="0.35">
      <c r="A149" t="s">
        <v>187</v>
      </c>
      <c r="B149" t="s">
        <v>12</v>
      </c>
      <c r="C149" s="1">
        <v>44598</v>
      </c>
      <c r="D149" t="s">
        <v>27</v>
      </c>
      <c r="E149" t="s">
        <v>28</v>
      </c>
      <c r="F149" t="s">
        <v>29</v>
      </c>
      <c r="G149" t="s">
        <v>30</v>
      </c>
      <c r="H149">
        <v>64.89</v>
      </c>
      <c r="I149">
        <v>1195</v>
      </c>
      <c r="J149">
        <v>77543.55</v>
      </c>
      <c r="K149" t="s">
        <v>31</v>
      </c>
    </row>
    <row r="150" spans="1:11" x14ac:dyDescent="0.35">
      <c r="A150" t="s">
        <v>188</v>
      </c>
      <c r="B150" t="s">
        <v>19</v>
      </c>
      <c r="C150" s="1">
        <v>44807</v>
      </c>
      <c r="D150" t="s">
        <v>40</v>
      </c>
      <c r="E150" t="s">
        <v>41</v>
      </c>
      <c r="F150" t="s">
        <v>42</v>
      </c>
      <c r="G150" t="s">
        <v>23</v>
      </c>
      <c r="H150">
        <v>25.47</v>
      </c>
      <c r="I150">
        <v>622</v>
      </c>
      <c r="J150">
        <v>15842.34</v>
      </c>
      <c r="K150" t="s">
        <v>17</v>
      </c>
    </row>
    <row r="151" spans="1:11" x14ac:dyDescent="0.35">
      <c r="A151" t="s">
        <v>189</v>
      </c>
      <c r="B151" t="s">
        <v>26</v>
      </c>
      <c r="C151" s="1">
        <v>44891</v>
      </c>
      <c r="D151" t="s">
        <v>34</v>
      </c>
      <c r="E151" t="s">
        <v>48</v>
      </c>
      <c r="F151" t="s">
        <v>49</v>
      </c>
      <c r="G151" t="s">
        <v>16</v>
      </c>
      <c r="H151">
        <v>80.680000000000007</v>
      </c>
      <c r="I151">
        <v>702</v>
      </c>
      <c r="J151">
        <v>56637.36</v>
      </c>
      <c r="K151" t="s">
        <v>24</v>
      </c>
    </row>
    <row r="152" spans="1:11" x14ac:dyDescent="0.35">
      <c r="A152" t="s">
        <v>190</v>
      </c>
      <c r="B152" t="s">
        <v>33</v>
      </c>
      <c r="C152" s="1">
        <v>44664</v>
      </c>
      <c r="D152" t="s">
        <v>13</v>
      </c>
      <c r="E152" t="s">
        <v>14</v>
      </c>
      <c r="F152" t="s">
        <v>15</v>
      </c>
      <c r="G152" t="s">
        <v>50</v>
      </c>
      <c r="H152">
        <v>18.25</v>
      </c>
      <c r="I152">
        <v>1044</v>
      </c>
      <c r="J152">
        <v>19053</v>
      </c>
      <c r="K152" t="s">
        <v>31</v>
      </c>
    </row>
    <row r="153" spans="1:11" x14ac:dyDescent="0.35">
      <c r="A153" t="s">
        <v>191</v>
      </c>
      <c r="B153" t="s">
        <v>39</v>
      </c>
      <c r="C153" s="1">
        <v>44771</v>
      </c>
      <c r="D153" t="s">
        <v>20</v>
      </c>
      <c r="E153" t="s">
        <v>21</v>
      </c>
      <c r="F153" t="s">
        <v>22</v>
      </c>
      <c r="G153" t="s">
        <v>30</v>
      </c>
      <c r="H153">
        <v>51.12</v>
      </c>
      <c r="I153">
        <v>839</v>
      </c>
      <c r="J153">
        <v>42889.68</v>
      </c>
      <c r="K153" t="s">
        <v>17</v>
      </c>
    </row>
    <row r="154" spans="1:11" x14ac:dyDescent="0.35">
      <c r="A154" t="s">
        <v>192</v>
      </c>
      <c r="B154" t="s">
        <v>12</v>
      </c>
      <c r="C154" s="1">
        <v>44959</v>
      </c>
      <c r="D154" t="s">
        <v>27</v>
      </c>
      <c r="E154" t="s">
        <v>28</v>
      </c>
      <c r="F154" t="s">
        <v>29</v>
      </c>
      <c r="G154" t="s">
        <v>37</v>
      </c>
      <c r="H154">
        <v>41.75</v>
      </c>
      <c r="I154">
        <v>492</v>
      </c>
      <c r="J154">
        <v>20541</v>
      </c>
      <c r="K154" t="s">
        <v>24</v>
      </c>
    </row>
    <row r="155" spans="1:11" x14ac:dyDescent="0.35">
      <c r="A155" t="s">
        <v>193</v>
      </c>
      <c r="B155" t="s">
        <v>19</v>
      </c>
      <c r="C155" s="1">
        <v>44935</v>
      </c>
      <c r="D155" t="s">
        <v>40</v>
      </c>
      <c r="E155" t="s">
        <v>41</v>
      </c>
      <c r="F155" t="s">
        <v>42</v>
      </c>
      <c r="G155" t="s">
        <v>16</v>
      </c>
      <c r="H155">
        <v>75.28</v>
      </c>
      <c r="I155">
        <v>574</v>
      </c>
      <c r="J155">
        <v>43210.720000000001</v>
      </c>
      <c r="K155" t="s">
        <v>31</v>
      </c>
    </row>
    <row r="156" spans="1:11" x14ac:dyDescent="0.35">
      <c r="A156" t="s">
        <v>194</v>
      </c>
      <c r="B156" t="s">
        <v>26</v>
      </c>
      <c r="C156" s="1">
        <v>45006</v>
      </c>
      <c r="D156" t="s">
        <v>34</v>
      </c>
      <c r="E156" t="s">
        <v>35</v>
      </c>
      <c r="F156" t="s">
        <v>36</v>
      </c>
      <c r="G156" t="s">
        <v>23</v>
      </c>
      <c r="H156">
        <v>32.54</v>
      </c>
      <c r="I156">
        <v>758</v>
      </c>
      <c r="J156">
        <v>24665.32</v>
      </c>
      <c r="K156" t="s">
        <v>17</v>
      </c>
    </row>
    <row r="157" spans="1:11" x14ac:dyDescent="0.35">
      <c r="A157" t="s">
        <v>195</v>
      </c>
      <c r="B157" t="s">
        <v>33</v>
      </c>
      <c r="C157" s="1">
        <v>44939</v>
      </c>
      <c r="D157" t="s">
        <v>13</v>
      </c>
      <c r="E157" t="s">
        <v>14</v>
      </c>
      <c r="F157" t="s">
        <v>15</v>
      </c>
      <c r="G157" t="s">
        <v>30</v>
      </c>
      <c r="H157">
        <v>47.88</v>
      </c>
      <c r="I157">
        <v>924</v>
      </c>
      <c r="J157">
        <v>44241.120000000003</v>
      </c>
      <c r="K157" t="s">
        <v>24</v>
      </c>
    </row>
    <row r="158" spans="1:11" x14ac:dyDescent="0.35">
      <c r="A158" t="s">
        <v>196</v>
      </c>
      <c r="B158" t="s">
        <v>39</v>
      </c>
      <c r="C158" s="1">
        <v>44972</v>
      </c>
      <c r="D158" t="s">
        <v>20</v>
      </c>
      <c r="E158" t="s">
        <v>21</v>
      </c>
      <c r="F158" t="s">
        <v>22</v>
      </c>
      <c r="G158" t="s">
        <v>44</v>
      </c>
      <c r="H158">
        <v>61.67</v>
      </c>
      <c r="I158">
        <v>932</v>
      </c>
      <c r="J158">
        <v>57476.44</v>
      </c>
      <c r="K158" t="s">
        <v>31</v>
      </c>
    </row>
    <row r="159" spans="1:11" x14ac:dyDescent="0.35">
      <c r="A159" t="s">
        <v>197</v>
      </c>
      <c r="B159" t="s">
        <v>12</v>
      </c>
      <c r="C159" s="1">
        <v>44990</v>
      </c>
      <c r="D159" t="s">
        <v>27</v>
      </c>
      <c r="E159" t="s">
        <v>28</v>
      </c>
      <c r="F159" t="s">
        <v>29</v>
      </c>
      <c r="G159" t="s">
        <v>30</v>
      </c>
      <c r="H159">
        <v>73.61</v>
      </c>
      <c r="I159">
        <v>1087</v>
      </c>
      <c r="J159">
        <v>80014.070000000007</v>
      </c>
      <c r="K159" t="s">
        <v>17</v>
      </c>
    </row>
    <row r="160" spans="1:11" x14ac:dyDescent="0.35">
      <c r="A160" t="s">
        <v>198</v>
      </c>
      <c r="B160" t="s">
        <v>19</v>
      </c>
      <c r="C160" s="1">
        <v>45013</v>
      </c>
      <c r="D160" t="s">
        <v>40</v>
      </c>
      <c r="E160" t="s">
        <v>41</v>
      </c>
      <c r="F160" t="s">
        <v>42</v>
      </c>
      <c r="G160" t="s">
        <v>37</v>
      </c>
      <c r="H160">
        <v>19.34</v>
      </c>
      <c r="I160">
        <v>565</v>
      </c>
      <c r="J160">
        <v>10927.1</v>
      </c>
      <c r="K160" t="s">
        <v>24</v>
      </c>
    </row>
    <row r="161" spans="1:11" x14ac:dyDescent="0.35">
      <c r="A161" t="s">
        <v>199</v>
      </c>
      <c r="B161" t="s">
        <v>26</v>
      </c>
      <c r="C161" s="1">
        <v>44983</v>
      </c>
      <c r="D161" t="s">
        <v>34</v>
      </c>
      <c r="E161" t="s">
        <v>48</v>
      </c>
      <c r="F161" t="s">
        <v>49</v>
      </c>
      <c r="G161" t="s">
        <v>16</v>
      </c>
      <c r="H161">
        <v>51.44</v>
      </c>
      <c r="I161">
        <v>388</v>
      </c>
      <c r="J161">
        <v>19958.72</v>
      </c>
      <c r="K161" t="s">
        <v>31</v>
      </c>
    </row>
    <row r="162" spans="1:11" x14ac:dyDescent="0.35">
      <c r="A162" t="s">
        <v>200</v>
      </c>
      <c r="B162" t="s">
        <v>33</v>
      </c>
      <c r="C162" s="1">
        <v>44957</v>
      </c>
      <c r="D162" t="s">
        <v>13</v>
      </c>
      <c r="E162" t="s">
        <v>14</v>
      </c>
      <c r="F162" t="s">
        <v>15</v>
      </c>
      <c r="G162" t="s">
        <v>50</v>
      </c>
      <c r="H162">
        <v>68.09</v>
      </c>
      <c r="I162">
        <v>835</v>
      </c>
      <c r="J162">
        <v>56855.15</v>
      </c>
      <c r="K162" t="s">
        <v>17</v>
      </c>
    </row>
    <row r="163" spans="1:11" x14ac:dyDescent="0.35">
      <c r="A163" t="s">
        <v>201</v>
      </c>
      <c r="B163" t="s">
        <v>39</v>
      </c>
      <c r="C163" s="1">
        <v>45000</v>
      </c>
      <c r="D163" t="s">
        <v>20</v>
      </c>
      <c r="E163" t="s">
        <v>21</v>
      </c>
      <c r="F163" t="s">
        <v>22</v>
      </c>
      <c r="G163" t="s">
        <v>30</v>
      </c>
      <c r="H163">
        <v>27.92</v>
      </c>
      <c r="I163">
        <v>929</v>
      </c>
      <c r="J163">
        <v>25937.68</v>
      </c>
      <c r="K163" t="s">
        <v>24</v>
      </c>
    </row>
    <row r="164" spans="1:11" x14ac:dyDescent="0.35">
      <c r="A164" t="s">
        <v>202</v>
      </c>
      <c r="B164" t="s">
        <v>12</v>
      </c>
      <c r="C164" s="1">
        <v>44995</v>
      </c>
      <c r="D164" t="s">
        <v>27</v>
      </c>
      <c r="E164" t="s">
        <v>28</v>
      </c>
      <c r="F164" t="s">
        <v>29</v>
      </c>
      <c r="G164" t="s">
        <v>44</v>
      </c>
      <c r="H164">
        <v>44.26</v>
      </c>
      <c r="I164">
        <v>516</v>
      </c>
      <c r="J164">
        <v>22838.16</v>
      </c>
      <c r="K164" t="s">
        <v>31</v>
      </c>
    </row>
    <row r="165" spans="1:11" x14ac:dyDescent="0.35">
      <c r="A165" t="s">
        <v>203</v>
      </c>
      <c r="B165" t="s">
        <v>19</v>
      </c>
      <c r="C165" s="1">
        <v>44954</v>
      </c>
      <c r="D165" t="s">
        <v>40</v>
      </c>
      <c r="E165" t="s">
        <v>41</v>
      </c>
      <c r="F165" t="s">
        <v>42</v>
      </c>
      <c r="G165" t="s">
        <v>23</v>
      </c>
      <c r="H165">
        <v>69.44</v>
      </c>
      <c r="I165">
        <v>795</v>
      </c>
      <c r="J165">
        <v>55204.800000000003</v>
      </c>
      <c r="K165" t="s">
        <v>17</v>
      </c>
    </row>
    <row r="166" spans="1:11" x14ac:dyDescent="0.35">
      <c r="A166" t="s">
        <v>204</v>
      </c>
      <c r="B166" t="s">
        <v>26</v>
      </c>
      <c r="C166" s="1">
        <v>44964</v>
      </c>
      <c r="D166" t="s">
        <v>34</v>
      </c>
      <c r="E166" t="s">
        <v>35</v>
      </c>
      <c r="F166" t="s">
        <v>36</v>
      </c>
      <c r="G166" t="s">
        <v>37</v>
      </c>
      <c r="H166">
        <v>27.89</v>
      </c>
      <c r="I166">
        <v>1179</v>
      </c>
      <c r="J166">
        <v>32882.31</v>
      </c>
      <c r="K166" t="s">
        <v>24</v>
      </c>
    </row>
    <row r="167" spans="1:11" x14ac:dyDescent="0.35">
      <c r="A167" t="s">
        <v>205</v>
      </c>
      <c r="B167" t="s">
        <v>33</v>
      </c>
      <c r="C167" s="1">
        <v>45004</v>
      </c>
      <c r="D167" t="s">
        <v>13</v>
      </c>
      <c r="E167" t="s">
        <v>14</v>
      </c>
      <c r="F167" t="s">
        <v>15</v>
      </c>
      <c r="G167" t="s">
        <v>16</v>
      </c>
      <c r="H167">
        <v>32.130000000000003</v>
      </c>
      <c r="I167">
        <v>442</v>
      </c>
      <c r="J167">
        <v>14201.46</v>
      </c>
      <c r="K167" t="s">
        <v>31</v>
      </c>
    </row>
    <row r="168" spans="1:11" x14ac:dyDescent="0.35">
      <c r="A168" t="s">
        <v>206</v>
      </c>
      <c r="B168" t="s">
        <v>39</v>
      </c>
      <c r="C168" s="1">
        <v>45011</v>
      </c>
      <c r="D168" t="s">
        <v>20</v>
      </c>
      <c r="E168" t="s">
        <v>21</v>
      </c>
      <c r="F168" t="s">
        <v>22</v>
      </c>
      <c r="G168" t="s">
        <v>23</v>
      </c>
      <c r="H168">
        <v>81.349999999999994</v>
      </c>
      <c r="I168">
        <v>957</v>
      </c>
      <c r="J168">
        <v>77851.95</v>
      </c>
      <c r="K168" t="s">
        <v>17</v>
      </c>
    </row>
    <row r="169" spans="1:11" x14ac:dyDescent="0.35">
      <c r="A169" t="s">
        <v>207</v>
      </c>
      <c r="B169" t="s">
        <v>12</v>
      </c>
      <c r="C169" s="1">
        <v>44944</v>
      </c>
      <c r="D169" t="s">
        <v>27</v>
      </c>
      <c r="E169" t="s">
        <v>28</v>
      </c>
      <c r="F169" t="s">
        <v>29</v>
      </c>
      <c r="G169" t="s">
        <v>30</v>
      </c>
      <c r="H169">
        <v>56.79</v>
      </c>
      <c r="I169">
        <v>802</v>
      </c>
      <c r="J169">
        <v>45545.58</v>
      </c>
      <c r="K169" t="s">
        <v>24</v>
      </c>
    </row>
    <row r="170" spans="1:11" x14ac:dyDescent="0.35">
      <c r="A170" t="s">
        <v>208</v>
      </c>
      <c r="B170" t="s">
        <v>19</v>
      </c>
      <c r="C170" s="1">
        <v>44980</v>
      </c>
      <c r="D170" t="s">
        <v>40</v>
      </c>
      <c r="E170" t="s">
        <v>41</v>
      </c>
      <c r="F170" t="s">
        <v>42</v>
      </c>
      <c r="G170" t="s">
        <v>50</v>
      </c>
      <c r="H170">
        <v>22.78</v>
      </c>
      <c r="I170">
        <v>1100</v>
      </c>
      <c r="J170">
        <v>25058</v>
      </c>
      <c r="K170" t="s">
        <v>31</v>
      </c>
    </row>
    <row r="171" spans="1:11" x14ac:dyDescent="0.35">
      <c r="A171" t="s">
        <v>209</v>
      </c>
      <c r="B171" t="s">
        <v>26</v>
      </c>
      <c r="C171" s="1">
        <v>44999</v>
      </c>
      <c r="D171" t="s">
        <v>34</v>
      </c>
      <c r="E171" t="s">
        <v>48</v>
      </c>
      <c r="F171" t="s">
        <v>49</v>
      </c>
      <c r="G171" t="s">
        <v>16</v>
      </c>
      <c r="H171">
        <v>75.13</v>
      </c>
      <c r="I171">
        <v>584</v>
      </c>
      <c r="J171">
        <v>43875.92</v>
      </c>
      <c r="K171" t="s">
        <v>17</v>
      </c>
    </row>
    <row r="172" spans="1:11" x14ac:dyDescent="0.35">
      <c r="A172" t="s">
        <v>210</v>
      </c>
      <c r="B172" t="s">
        <v>33</v>
      </c>
      <c r="C172" s="1">
        <v>44959</v>
      </c>
      <c r="D172" t="s">
        <v>13</v>
      </c>
      <c r="E172" t="s">
        <v>14</v>
      </c>
      <c r="F172" t="s">
        <v>15</v>
      </c>
      <c r="G172" t="s">
        <v>30</v>
      </c>
      <c r="H172">
        <v>36.29</v>
      </c>
      <c r="I172">
        <v>816</v>
      </c>
      <c r="J172">
        <v>29612.639999999999</v>
      </c>
      <c r="K172" t="s">
        <v>24</v>
      </c>
    </row>
    <row r="173" spans="1:11" x14ac:dyDescent="0.35">
      <c r="A173" t="s">
        <v>211</v>
      </c>
      <c r="B173" t="s">
        <v>39</v>
      </c>
      <c r="C173" s="1">
        <v>44934</v>
      </c>
      <c r="D173" t="s">
        <v>20</v>
      </c>
      <c r="E173" t="s">
        <v>21</v>
      </c>
      <c r="F173" t="s">
        <v>22</v>
      </c>
      <c r="G173" t="s">
        <v>23</v>
      </c>
      <c r="H173">
        <v>90.42</v>
      </c>
      <c r="I173">
        <v>1022</v>
      </c>
      <c r="J173">
        <v>92409.24</v>
      </c>
      <c r="K173" t="s">
        <v>31</v>
      </c>
    </row>
    <row r="174" spans="1:11" x14ac:dyDescent="0.35">
      <c r="A174" t="s">
        <v>212</v>
      </c>
      <c r="B174" t="s">
        <v>12</v>
      </c>
      <c r="C174" s="1">
        <v>44993</v>
      </c>
      <c r="D174" t="s">
        <v>27</v>
      </c>
      <c r="E174" t="s">
        <v>28</v>
      </c>
      <c r="F174" t="s">
        <v>29</v>
      </c>
      <c r="G174" t="s">
        <v>37</v>
      </c>
      <c r="H174">
        <v>48.92</v>
      </c>
      <c r="I174">
        <v>1115</v>
      </c>
      <c r="J174">
        <v>54545.8</v>
      </c>
      <c r="K174" t="s">
        <v>17</v>
      </c>
    </row>
    <row r="175" spans="1:11" x14ac:dyDescent="0.35">
      <c r="A175" t="s">
        <v>213</v>
      </c>
      <c r="B175" t="s">
        <v>19</v>
      </c>
      <c r="C175" s="1">
        <v>44989</v>
      </c>
      <c r="D175" t="s">
        <v>40</v>
      </c>
      <c r="E175" t="s">
        <v>41</v>
      </c>
      <c r="F175" t="s">
        <v>42</v>
      </c>
      <c r="G175" t="s">
        <v>30</v>
      </c>
      <c r="H175">
        <v>63.01</v>
      </c>
      <c r="I175">
        <v>874</v>
      </c>
      <c r="J175">
        <v>55070.74</v>
      </c>
      <c r="K175" t="s">
        <v>24</v>
      </c>
    </row>
    <row r="176" spans="1:11" x14ac:dyDescent="0.35">
      <c r="A176" t="s">
        <v>214</v>
      </c>
      <c r="B176" t="s">
        <v>26</v>
      </c>
      <c r="C176" s="1">
        <v>44971</v>
      </c>
      <c r="D176" t="s">
        <v>34</v>
      </c>
      <c r="E176" t="s">
        <v>35</v>
      </c>
      <c r="F176" t="s">
        <v>36</v>
      </c>
      <c r="G176" t="s">
        <v>37</v>
      </c>
      <c r="H176">
        <v>36.619999999999997</v>
      </c>
      <c r="I176">
        <v>729</v>
      </c>
      <c r="J176">
        <v>26695.98</v>
      </c>
      <c r="K176" t="s">
        <v>31</v>
      </c>
    </row>
    <row r="177" spans="1:11" x14ac:dyDescent="0.35">
      <c r="A177" t="s">
        <v>215</v>
      </c>
      <c r="B177" t="s">
        <v>33</v>
      </c>
      <c r="C177" s="1">
        <v>44948</v>
      </c>
      <c r="D177" t="s">
        <v>13</v>
      </c>
      <c r="E177" t="s">
        <v>14</v>
      </c>
      <c r="F177" t="s">
        <v>15</v>
      </c>
      <c r="G177" t="s">
        <v>44</v>
      </c>
      <c r="H177">
        <v>88.72</v>
      </c>
      <c r="I177">
        <v>535</v>
      </c>
      <c r="J177">
        <v>47465.2</v>
      </c>
      <c r="K177" t="s">
        <v>17</v>
      </c>
    </row>
    <row r="178" spans="1:11" x14ac:dyDescent="0.35">
      <c r="A178" t="s">
        <v>216</v>
      </c>
      <c r="B178" t="s">
        <v>39</v>
      </c>
      <c r="C178" s="1">
        <v>45006</v>
      </c>
      <c r="D178" t="s">
        <v>20</v>
      </c>
      <c r="E178" t="s">
        <v>21</v>
      </c>
      <c r="F178" t="s">
        <v>22</v>
      </c>
      <c r="G178" t="s">
        <v>30</v>
      </c>
      <c r="H178">
        <v>74.37</v>
      </c>
      <c r="I178">
        <v>624</v>
      </c>
      <c r="J178">
        <v>46406.879999999997</v>
      </c>
      <c r="K178" t="s">
        <v>24</v>
      </c>
    </row>
    <row r="179" spans="1:11" x14ac:dyDescent="0.35">
      <c r="A179" t="s">
        <v>217</v>
      </c>
      <c r="B179" t="s">
        <v>12</v>
      </c>
      <c r="C179" s="1">
        <v>44969</v>
      </c>
      <c r="D179" t="s">
        <v>27</v>
      </c>
      <c r="E179" t="s">
        <v>28</v>
      </c>
      <c r="F179" t="s">
        <v>29</v>
      </c>
      <c r="G179" t="s">
        <v>44</v>
      </c>
      <c r="H179">
        <v>46.19</v>
      </c>
      <c r="I179">
        <v>992</v>
      </c>
      <c r="J179">
        <v>45820.480000000003</v>
      </c>
      <c r="K179" t="s">
        <v>31</v>
      </c>
    </row>
    <row r="180" spans="1:11" x14ac:dyDescent="0.35">
      <c r="A180" t="s">
        <v>218</v>
      </c>
      <c r="B180" t="s">
        <v>19</v>
      </c>
      <c r="C180" s="1">
        <v>45011</v>
      </c>
      <c r="D180" t="s">
        <v>40</v>
      </c>
      <c r="E180" t="s">
        <v>41</v>
      </c>
      <c r="F180" t="s">
        <v>42</v>
      </c>
      <c r="G180" t="s">
        <v>37</v>
      </c>
      <c r="H180">
        <v>31.78</v>
      </c>
      <c r="I180">
        <v>1155</v>
      </c>
      <c r="J180">
        <v>36705.9</v>
      </c>
      <c r="K180" t="s">
        <v>17</v>
      </c>
    </row>
    <row r="181" spans="1:11" x14ac:dyDescent="0.35">
      <c r="A181" t="s">
        <v>219</v>
      </c>
      <c r="B181" t="s">
        <v>26</v>
      </c>
      <c r="C181" s="1">
        <v>44941</v>
      </c>
      <c r="D181" t="s">
        <v>34</v>
      </c>
      <c r="E181" t="s">
        <v>48</v>
      </c>
      <c r="F181" t="s">
        <v>49</v>
      </c>
      <c r="G181" t="s">
        <v>50</v>
      </c>
      <c r="H181">
        <v>67.34</v>
      </c>
      <c r="I181">
        <v>365</v>
      </c>
      <c r="J181">
        <v>24579.1</v>
      </c>
      <c r="K181" t="s">
        <v>24</v>
      </c>
    </row>
    <row r="182" spans="1:11" x14ac:dyDescent="0.35">
      <c r="A182" t="s">
        <v>220</v>
      </c>
      <c r="B182" t="s">
        <v>33</v>
      </c>
      <c r="C182" s="1">
        <v>44980</v>
      </c>
      <c r="D182" t="s">
        <v>13</v>
      </c>
      <c r="E182" t="s">
        <v>14</v>
      </c>
      <c r="F182" t="s">
        <v>15</v>
      </c>
      <c r="G182" t="s">
        <v>16</v>
      </c>
      <c r="H182">
        <v>26.29</v>
      </c>
      <c r="I182">
        <v>1169</v>
      </c>
      <c r="J182">
        <v>30733.01</v>
      </c>
      <c r="K182" t="s">
        <v>31</v>
      </c>
    </row>
    <row r="183" spans="1:11" x14ac:dyDescent="0.35">
      <c r="A183" t="s">
        <v>221</v>
      </c>
      <c r="B183" t="s">
        <v>39</v>
      </c>
      <c r="C183" s="1">
        <v>44998</v>
      </c>
      <c r="D183" t="s">
        <v>20</v>
      </c>
      <c r="E183" t="s">
        <v>21</v>
      </c>
      <c r="F183" t="s">
        <v>22</v>
      </c>
      <c r="G183" t="s">
        <v>23</v>
      </c>
      <c r="H183">
        <v>55.88</v>
      </c>
      <c r="I183">
        <v>938</v>
      </c>
      <c r="J183">
        <v>52415.44</v>
      </c>
      <c r="K183" t="s">
        <v>17</v>
      </c>
    </row>
    <row r="184" spans="1:11" x14ac:dyDescent="0.35">
      <c r="A184" t="s">
        <v>222</v>
      </c>
      <c r="B184" t="s">
        <v>12</v>
      </c>
      <c r="C184" s="1">
        <v>44962</v>
      </c>
      <c r="D184" t="s">
        <v>27</v>
      </c>
      <c r="E184" t="s">
        <v>28</v>
      </c>
      <c r="F184" t="s">
        <v>29</v>
      </c>
      <c r="G184" t="s">
        <v>30</v>
      </c>
      <c r="H184">
        <v>89.31</v>
      </c>
      <c r="I184">
        <v>1203</v>
      </c>
      <c r="J184">
        <v>107439.93</v>
      </c>
      <c r="K184" t="s">
        <v>24</v>
      </c>
    </row>
    <row r="185" spans="1:11" x14ac:dyDescent="0.35">
      <c r="A185" t="s">
        <v>223</v>
      </c>
      <c r="B185" t="s">
        <v>19</v>
      </c>
      <c r="C185" s="1">
        <v>44937</v>
      </c>
      <c r="D185" t="s">
        <v>40</v>
      </c>
      <c r="E185" t="s">
        <v>41</v>
      </c>
      <c r="F185" t="s">
        <v>42</v>
      </c>
      <c r="G185" t="s">
        <v>44</v>
      </c>
      <c r="H185">
        <v>33.659999999999997</v>
      </c>
      <c r="I185">
        <v>613</v>
      </c>
      <c r="J185">
        <v>20633.580000000002</v>
      </c>
      <c r="K185" t="s">
        <v>31</v>
      </c>
    </row>
    <row r="186" spans="1:11" x14ac:dyDescent="0.35">
      <c r="A186" t="s">
        <v>224</v>
      </c>
      <c r="B186" t="s">
        <v>26</v>
      </c>
      <c r="C186" s="1">
        <v>45004</v>
      </c>
      <c r="D186" t="s">
        <v>34</v>
      </c>
      <c r="E186" t="s">
        <v>35</v>
      </c>
      <c r="F186" t="s">
        <v>36</v>
      </c>
      <c r="G186" t="s">
        <v>16</v>
      </c>
      <c r="H186">
        <v>65.22</v>
      </c>
      <c r="I186">
        <v>788</v>
      </c>
      <c r="J186">
        <v>51393.36</v>
      </c>
      <c r="K186" t="s">
        <v>17</v>
      </c>
    </row>
    <row r="187" spans="1:11" x14ac:dyDescent="0.35">
      <c r="A187" t="s">
        <v>225</v>
      </c>
      <c r="B187" t="s">
        <v>33</v>
      </c>
      <c r="C187" s="1">
        <v>44970</v>
      </c>
      <c r="D187" t="s">
        <v>13</v>
      </c>
      <c r="E187" t="s">
        <v>14</v>
      </c>
      <c r="F187" t="s">
        <v>15</v>
      </c>
      <c r="G187" t="s">
        <v>23</v>
      </c>
      <c r="H187">
        <v>40.92</v>
      </c>
      <c r="I187">
        <v>631</v>
      </c>
      <c r="J187">
        <v>25820.52</v>
      </c>
      <c r="K187" t="s">
        <v>24</v>
      </c>
    </row>
    <row r="188" spans="1:11" x14ac:dyDescent="0.35">
      <c r="A188" t="s">
        <v>226</v>
      </c>
      <c r="B188" t="s">
        <v>39</v>
      </c>
      <c r="C188" s="1">
        <v>44932</v>
      </c>
      <c r="D188" t="s">
        <v>20</v>
      </c>
      <c r="E188" t="s">
        <v>21</v>
      </c>
      <c r="F188" t="s">
        <v>22</v>
      </c>
      <c r="G188" t="s">
        <v>50</v>
      </c>
      <c r="H188">
        <v>21.55</v>
      </c>
      <c r="I188">
        <v>812</v>
      </c>
      <c r="J188">
        <v>17498.599999999999</v>
      </c>
      <c r="K188" t="s">
        <v>31</v>
      </c>
    </row>
    <row r="189" spans="1:11" x14ac:dyDescent="0.35">
      <c r="A189" t="s">
        <v>227</v>
      </c>
      <c r="B189" t="s">
        <v>12</v>
      </c>
      <c r="C189" s="1">
        <v>44990</v>
      </c>
      <c r="D189" t="s">
        <v>27</v>
      </c>
      <c r="E189" t="s">
        <v>28</v>
      </c>
      <c r="F189" t="s">
        <v>29</v>
      </c>
      <c r="G189" t="s">
        <v>37</v>
      </c>
      <c r="H189">
        <v>78.56</v>
      </c>
      <c r="I189">
        <v>938</v>
      </c>
      <c r="J189">
        <v>73689.279999999999</v>
      </c>
      <c r="K189" t="s">
        <v>17</v>
      </c>
    </row>
    <row r="190" spans="1:11" x14ac:dyDescent="0.35">
      <c r="A190" t="s">
        <v>228</v>
      </c>
      <c r="B190" t="s">
        <v>19</v>
      </c>
      <c r="C190" s="1">
        <v>44973</v>
      </c>
      <c r="D190" t="s">
        <v>40</v>
      </c>
      <c r="E190" t="s">
        <v>41</v>
      </c>
      <c r="F190" t="s">
        <v>42</v>
      </c>
      <c r="G190" t="s">
        <v>30</v>
      </c>
      <c r="H190">
        <v>42.09</v>
      </c>
      <c r="I190">
        <v>1187</v>
      </c>
      <c r="J190">
        <v>49960.83</v>
      </c>
      <c r="K190" t="s">
        <v>24</v>
      </c>
    </row>
    <row r="191" spans="1:11" x14ac:dyDescent="0.35">
      <c r="A191" t="s">
        <v>229</v>
      </c>
      <c r="B191" t="s">
        <v>26</v>
      </c>
      <c r="C191" s="1">
        <v>44929</v>
      </c>
      <c r="D191" t="s">
        <v>34</v>
      </c>
      <c r="E191" t="s">
        <v>48</v>
      </c>
      <c r="F191" t="s">
        <v>49</v>
      </c>
      <c r="G191" t="s">
        <v>16</v>
      </c>
      <c r="H191">
        <v>29.71</v>
      </c>
      <c r="I191">
        <v>939</v>
      </c>
      <c r="J191">
        <v>27897.69</v>
      </c>
      <c r="K191" t="s">
        <v>31</v>
      </c>
    </row>
    <row r="192" spans="1:11" x14ac:dyDescent="0.35">
      <c r="A192" t="s">
        <v>230</v>
      </c>
      <c r="B192" t="s">
        <v>33</v>
      </c>
      <c r="C192" s="1">
        <v>45003</v>
      </c>
      <c r="D192" t="s">
        <v>13</v>
      </c>
      <c r="E192" t="s">
        <v>14</v>
      </c>
      <c r="F192" t="s">
        <v>15</v>
      </c>
      <c r="G192" t="s">
        <v>44</v>
      </c>
      <c r="H192">
        <v>55.92</v>
      </c>
      <c r="I192">
        <v>698</v>
      </c>
      <c r="J192">
        <v>39032.160000000003</v>
      </c>
      <c r="K192" t="s">
        <v>17</v>
      </c>
    </row>
    <row r="193" spans="1:11" x14ac:dyDescent="0.35">
      <c r="A193" t="s">
        <v>231</v>
      </c>
      <c r="B193" t="s">
        <v>39</v>
      </c>
      <c r="C193" s="1">
        <v>44959</v>
      </c>
      <c r="D193" t="s">
        <v>20</v>
      </c>
      <c r="E193" t="s">
        <v>21</v>
      </c>
      <c r="F193" t="s">
        <v>22</v>
      </c>
      <c r="G193" t="s">
        <v>30</v>
      </c>
      <c r="H193">
        <v>83.23</v>
      </c>
      <c r="I193">
        <v>675</v>
      </c>
      <c r="J193">
        <v>56180.25</v>
      </c>
      <c r="K193" t="s">
        <v>24</v>
      </c>
    </row>
    <row r="194" spans="1:11" x14ac:dyDescent="0.35">
      <c r="A194" t="s">
        <v>232</v>
      </c>
      <c r="B194" t="s">
        <v>12</v>
      </c>
      <c r="C194" s="1">
        <v>44949</v>
      </c>
      <c r="D194" t="s">
        <v>27</v>
      </c>
      <c r="E194" t="s">
        <v>28</v>
      </c>
      <c r="F194" t="s">
        <v>29</v>
      </c>
      <c r="G194" t="s">
        <v>44</v>
      </c>
      <c r="H194">
        <v>34.78</v>
      </c>
      <c r="I194">
        <v>853</v>
      </c>
      <c r="J194">
        <v>29667.34</v>
      </c>
      <c r="K194" t="s">
        <v>31</v>
      </c>
    </row>
    <row r="195" spans="1:11" x14ac:dyDescent="0.35">
      <c r="A195" t="s">
        <v>233</v>
      </c>
      <c r="B195" t="s">
        <v>19</v>
      </c>
      <c r="C195" s="1">
        <v>45012</v>
      </c>
      <c r="D195" t="s">
        <v>40</v>
      </c>
      <c r="E195" t="s">
        <v>41</v>
      </c>
      <c r="F195" t="s">
        <v>42</v>
      </c>
      <c r="G195" t="s">
        <v>23</v>
      </c>
      <c r="H195">
        <v>70.430000000000007</v>
      </c>
      <c r="I195">
        <v>1073</v>
      </c>
      <c r="J195">
        <v>75571.39</v>
      </c>
      <c r="K195" t="s">
        <v>17</v>
      </c>
    </row>
    <row r="196" spans="1:11" x14ac:dyDescent="0.35">
      <c r="A196" t="s">
        <v>234</v>
      </c>
      <c r="B196" t="s">
        <v>26</v>
      </c>
      <c r="C196" s="1">
        <v>44972</v>
      </c>
      <c r="D196" t="s">
        <v>34</v>
      </c>
      <c r="E196" t="s">
        <v>35</v>
      </c>
      <c r="F196" t="s">
        <v>36</v>
      </c>
      <c r="G196" t="s">
        <v>37</v>
      </c>
      <c r="H196">
        <v>22.11</v>
      </c>
      <c r="I196">
        <v>426</v>
      </c>
      <c r="J196">
        <v>9418.86</v>
      </c>
      <c r="K196" t="s">
        <v>24</v>
      </c>
    </row>
    <row r="197" spans="1:11" x14ac:dyDescent="0.35">
      <c r="A197" t="s">
        <v>235</v>
      </c>
      <c r="B197" t="s">
        <v>33</v>
      </c>
      <c r="C197" s="1">
        <v>44937</v>
      </c>
      <c r="D197" t="s">
        <v>13</v>
      </c>
      <c r="E197" t="s">
        <v>14</v>
      </c>
      <c r="F197" t="s">
        <v>15</v>
      </c>
      <c r="G197" t="s">
        <v>16</v>
      </c>
      <c r="H197">
        <v>47.65</v>
      </c>
      <c r="I197">
        <v>817</v>
      </c>
      <c r="J197">
        <v>38930.050000000003</v>
      </c>
      <c r="K197" t="s">
        <v>31</v>
      </c>
    </row>
    <row r="198" spans="1:11" x14ac:dyDescent="0.35">
      <c r="A198" t="s">
        <v>236</v>
      </c>
      <c r="B198" t="s">
        <v>39</v>
      </c>
      <c r="C198" s="1">
        <v>45008</v>
      </c>
      <c r="D198" t="s">
        <v>20</v>
      </c>
      <c r="E198" t="s">
        <v>21</v>
      </c>
      <c r="F198" t="s">
        <v>22</v>
      </c>
      <c r="G198" t="s">
        <v>23</v>
      </c>
      <c r="H198">
        <v>64.19</v>
      </c>
      <c r="I198">
        <v>670</v>
      </c>
      <c r="J198">
        <v>43007.3</v>
      </c>
      <c r="K198" t="s">
        <v>17</v>
      </c>
    </row>
    <row r="199" spans="1:11" x14ac:dyDescent="0.35">
      <c r="A199" t="s">
        <v>237</v>
      </c>
      <c r="B199" t="s">
        <v>12</v>
      </c>
      <c r="C199" s="1">
        <v>44977</v>
      </c>
      <c r="D199" t="s">
        <v>27</v>
      </c>
      <c r="E199" t="s">
        <v>28</v>
      </c>
      <c r="F199" t="s">
        <v>29</v>
      </c>
      <c r="G199" t="s">
        <v>30</v>
      </c>
      <c r="H199">
        <v>32.979999999999997</v>
      </c>
      <c r="I199">
        <v>889</v>
      </c>
      <c r="J199">
        <v>29319.22</v>
      </c>
      <c r="K199" t="s">
        <v>24</v>
      </c>
    </row>
    <row r="200" spans="1:11" x14ac:dyDescent="0.35">
      <c r="A200" t="s">
        <v>238</v>
      </c>
      <c r="B200" t="s">
        <v>19</v>
      </c>
      <c r="C200" s="1">
        <v>44939</v>
      </c>
      <c r="D200" t="s">
        <v>40</v>
      </c>
      <c r="E200" t="s">
        <v>41</v>
      </c>
      <c r="F200" t="s">
        <v>42</v>
      </c>
      <c r="G200" t="s">
        <v>37</v>
      </c>
      <c r="H200">
        <v>79.47</v>
      </c>
      <c r="I200">
        <v>564</v>
      </c>
      <c r="J200">
        <v>44821.08</v>
      </c>
      <c r="K200" t="s">
        <v>31</v>
      </c>
    </row>
    <row r="201" spans="1:11" x14ac:dyDescent="0.35">
      <c r="A201" t="s">
        <v>239</v>
      </c>
      <c r="B201" t="s">
        <v>26</v>
      </c>
      <c r="C201" s="1">
        <v>44988</v>
      </c>
      <c r="D201" t="s">
        <v>34</v>
      </c>
      <c r="E201" t="s">
        <v>48</v>
      </c>
      <c r="F201" t="s">
        <v>49</v>
      </c>
      <c r="G201" t="s">
        <v>30</v>
      </c>
      <c r="H201">
        <v>39.68</v>
      </c>
      <c r="I201">
        <v>704</v>
      </c>
      <c r="J201">
        <v>27934.720000000001</v>
      </c>
      <c r="K201" t="s">
        <v>17</v>
      </c>
    </row>
    <row r="202" spans="1:11" x14ac:dyDescent="0.35">
      <c r="A202" t="s">
        <v>240</v>
      </c>
      <c r="B202" t="s">
        <v>33</v>
      </c>
      <c r="C202" s="1">
        <v>44967</v>
      </c>
      <c r="D202" t="s">
        <v>13</v>
      </c>
      <c r="E202" t="s">
        <v>14</v>
      </c>
      <c r="F202" t="s">
        <v>15</v>
      </c>
      <c r="G202" t="s">
        <v>44</v>
      </c>
      <c r="H202">
        <v>46.34</v>
      </c>
      <c r="I202">
        <v>1098</v>
      </c>
      <c r="J202">
        <v>50881.32</v>
      </c>
      <c r="K202" t="s">
        <v>24</v>
      </c>
    </row>
    <row r="203" spans="1:11" x14ac:dyDescent="0.35">
      <c r="A203" t="s">
        <v>241</v>
      </c>
      <c r="B203" t="s">
        <v>39</v>
      </c>
      <c r="C203" s="1">
        <v>44942</v>
      </c>
      <c r="D203" t="s">
        <v>20</v>
      </c>
      <c r="E203" t="s">
        <v>21</v>
      </c>
      <c r="F203" t="s">
        <v>22</v>
      </c>
      <c r="G203" t="s">
        <v>16</v>
      </c>
      <c r="H203">
        <v>66.23</v>
      </c>
      <c r="I203">
        <v>1005</v>
      </c>
      <c r="J203">
        <v>66561.149999999994</v>
      </c>
      <c r="K203" t="s">
        <v>31</v>
      </c>
    </row>
    <row r="204" spans="1:11" x14ac:dyDescent="0.35">
      <c r="A204" t="s">
        <v>242</v>
      </c>
      <c r="B204" t="s">
        <v>12</v>
      </c>
      <c r="C204" s="1">
        <v>45010</v>
      </c>
      <c r="D204" t="s">
        <v>27</v>
      </c>
      <c r="E204" t="s">
        <v>28</v>
      </c>
      <c r="F204" t="s">
        <v>29</v>
      </c>
      <c r="G204" t="s">
        <v>23</v>
      </c>
      <c r="H204">
        <v>29.15</v>
      </c>
      <c r="I204">
        <v>611</v>
      </c>
      <c r="J204">
        <v>17810.650000000001</v>
      </c>
      <c r="K204" t="s">
        <v>17</v>
      </c>
    </row>
    <row r="205" spans="1:11" x14ac:dyDescent="0.35">
      <c r="A205" t="s">
        <v>243</v>
      </c>
      <c r="B205" t="s">
        <v>19</v>
      </c>
      <c r="C205" s="1">
        <v>44969</v>
      </c>
      <c r="D205" t="s">
        <v>40</v>
      </c>
      <c r="E205" t="s">
        <v>41</v>
      </c>
      <c r="F205" t="s">
        <v>42</v>
      </c>
      <c r="G205" t="s">
        <v>30</v>
      </c>
      <c r="H205">
        <v>54.11</v>
      </c>
      <c r="I205">
        <v>943</v>
      </c>
      <c r="J205">
        <v>51025.73</v>
      </c>
      <c r="K205" t="s">
        <v>24</v>
      </c>
    </row>
    <row r="206" spans="1:11" x14ac:dyDescent="0.35">
      <c r="A206" t="s">
        <v>244</v>
      </c>
      <c r="B206" t="s">
        <v>26</v>
      </c>
      <c r="C206" s="1">
        <v>44932</v>
      </c>
      <c r="D206" t="s">
        <v>34</v>
      </c>
      <c r="E206" t="s">
        <v>35</v>
      </c>
      <c r="F206" t="s">
        <v>36</v>
      </c>
      <c r="G206" t="s">
        <v>37</v>
      </c>
      <c r="H206">
        <v>23.89</v>
      </c>
      <c r="I206">
        <v>827</v>
      </c>
      <c r="J206">
        <v>19757.03</v>
      </c>
      <c r="K206" t="s">
        <v>31</v>
      </c>
    </row>
    <row r="207" spans="1:11" x14ac:dyDescent="0.35">
      <c r="A207" t="s">
        <v>245</v>
      </c>
      <c r="B207" t="s">
        <v>33</v>
      </c>
      <c r="C207" s="1">
        <v>44999</v>
      </c>
      <c r="D207" t="s">
        <v>13</v>
      </c>
      <c r="E207" t="s">
        <v>14</v>
      </c>
      <c r="F207" t="s">
        <v>15</v>
      </c>
      <c r="G207" t="s">
        <v>16</v>
      </c>
      <c r="H207">
        <v>37.56</v>
      </c>
      <c r="I207">
        <v>1156</v>
      </c>
      <c r="J207">
        <v>43419.360000000001</v>
      </c>
      <c r="K207" t="s">
        <v>17</v>
      </c>
    </row>
    <row r="208" spans="1:11" x14ac:dyDescent="0.35">
      <c r="A208" t="s">
        <v>246</v>
      </c>
      <c r="B208" t="s">
        <v>39</v>
      </c>
      <c r="C208" s="1">
        <v>44985</v>
      </c>
      <c r="D208" t="s">
        <v>20</v>
      </c>
      <c r="E208" t="s">
        <v>21</v>
      </c>
      <c r="F208" t="s">
        <v>22</v>
      </c>
      <c r="G208" t="s">
        <v>50</v>
      </c>
      <c r="H208">
        <v>58.69</v>
      </c>
      <c r="I208">
        <v>928</v>
      </c>
      <c r="J208">
        <v>54464.32</v>
      </c>
      <c r="K208" t="s">
        <v>24</v>
      </c>
    </row>
    <row r="209" spans="1:11" x14ac:dyDescent="0.35">
      <c r="A209" t="s">
        <v>247</v>
      </c>
      <c r="B209" t="s">
        <v>12</v>
      </c>
      <c r="C209" s="1">
        <v>44935</v>
      </c>
      <c r="D209" t="s">
        <v>27</v>
      </c>
      <c r="E209" t="s">
        <v>28</v>
      </c>
      <c r="F209" t="s">
        <v>29</v>
      </c>
      <c r="G209" t="s">
        <v>37</v>
      </c>
      <c r="H209">
        <v>89.21</v>
      </c>
      <c r="I209">
        <v>597</v>
      </c>
      <c r="J209">
        <v>53258.37</v>
      </c>
      <c r="K209" t="s">
        <v>31</v>
      </c>
    </row>
    <row r="210" spans="1:11" x14ac:dyDescent="0.35">
      <c r="A210" t="s">
        <v>248</v>
      </c>
      <c r="B210" t="s">
        <v>19</v>
      </c>
      <c r="C210" s="1">
        <v>45002</v>
      </c>
      <c r="D210" t="s">
        <v>40</v>
      </c>
      <c r="E210" t="s">
        <v>41</v>
      </c>
      <c r="F210" t="s">
        <v>42</v>
      </c>
      <c r="G210" t="s">
        <v>30</v>
      </c>
      <c r="H210">
        <v>41.32</v>
      </c>
      <c r="I210">
        <v>917</v>
      </c>
      <c r="J210">
        <v>37890.44</v>
      </c>
      <c r="K210" t="s">
        <v>17</v>
      </c>
    </row>
    <row r="211" spans="1:11" x14ac:dyDescent="0.35">
      <c r="A211" t="s">
        <v>249</v>
      </c>
      <c r="B211" t="s">
        <v>26</v>
      </c>
      <c r="C211" s="1">
        <v>44962</v>
      </c>
      <c r="D211" t="s">
        <v>34</v>
      </c>
      <c r="E211" t="s">
        <v>48</v>
      </c>
      <c r="F211" t="s">
        <v>49</v>
      </c>
      <c r="G211" t="s">
        <v>16</v>
      </c>
      <c r="H211">
        <v>68.959999999999994</v>
      </c>
      <c r="I211">
        <v>654</v>
      </c>
      <c r="J211">
        <v>45099.839999999997</v>
      </c>
      <c r="K211" t="s">
        <v>24</v>
      </c>
    </row>
    <row r="212" spans="1:11" x14ac:dyDescent="0.35">
      <c r="A212" t="s">
        <v>250</v>
      </c>
      <c r="B212" t="s">
        <v>33</v>
      </c>
      <c r="C212" s="1">
        <v>44928</v>
      </c>
      <c r="D212" t="s">
        <v>13</v>
      </c>
      <c r="E212" t="s">
        <v>14</v>
      </c>
      <c r="F212" t="s">
        <v>15</v>
      </c>
      <c r="G212" t="s">
        <v>23</v>
      </c>
      <c r="H212">
        <v>32.15</v>
      </c>
      <c r="I212">
        <v>1081</v>
      </c>
      <c r="J212">
        <v>34754.15</v>
      </c>
      <c r="K212" t="s">
        <v>31</v>
      </c>
    </row>
    <row r="213" spans="1:11" x14ac:dyDescent="0.35">
      <c r="A213" t="s">
        <v>251</v>
      </c>
      <c r="B213" t="s">
        <v>39</v>
      </c>
      <c r="C213" s="1">
        <v>44993</v>
      </c>
      <c r="D213" t="s">
        <v>20</v>
      </c>
      <c r="E213" t="s">
        <v>21</v>
      </c>
      <c r="F213" t="s">
        <v>22</v>
      </c>
      <c r="G213" t="s">
        <v>30</v>
      </c>
      <c r="H213">
        <v>44.76</v>
      </c>
      <c r="I213">
        <v>765</v>
      </c>
      <c r="J213">
        <v>34241.4</v>
      </c>
      <c r="K213" t="s">
        <v>17</v>
      </c>
    </row>
    <row r="214" spans="1:11" x14ac:dyDescent="0.35">
      <c r="A214" t="s">
        <v>252</v>
      </c>
      <c r="B214" t="s">
        <v>12</v>
      </c>
      <c r="C214" s="1">
        <v>44982</v>
      </c>
      <c r="D214" t="s">
        <v>27</v>
      </c>
      <c r="E214" t="s">
        <v>28</v>
      </c>
      <c r="F214" t="s">
        <v>29</v>
      </c>
      <c r="G214" t="s">
        <v>44</v>
      </c>
      <c r="H214">
        <v>57.64</v>
      </c>
      <c r="I214">
        <v>932</v>
      </c>
      <c r="J214">
        <v>53720.480000000003</v>
      </c>
      <c r="K214" t="s">
        <v>24</v>
      </c>
    </row>
    <row r="215" spans="1:11" x14ac:dyDescent="0.35">
      <c r="A215" t="s">
        <v>253</v>
      </c>
      <c r="B215" t="s">
        <v>19</v>
      </c>
      <c r="C215" s="1">
        <v>44953</v>
      </c>
      <c r="D215" t="s">
        <v>40</v>
      </c>
      <c r="E215" t="s">
        <v>41</v>
      </c>
      <c r="F215" t="s">
        <v>42</v>
      </c>
      <c r="G215" t="s">
        <v>37</v>
      </c>
      <c r="H215">
        <v>31.23</v>
      </c>
      <c r="I215">
        <v>506</v>
      </c>
      <c r="J215">
        <v>15802.38</v>
      </c>
      <c r="K215" t="s">
        <v>31</v>
      </c>
    </row>
    <row r="216" spans="1:11" x14ac:dyDescent="0.35">
      <c r="A216" t="s">
        <v>254</v>
      </c>
      <c r="B216" t="s">
        <v>26</v>
      </c>
      <c r="C216" s="1">
        <v>45000</v>
      </c>
      <c r="D216" t="s">
        <v>34</v>
      </c>
      <c r="E216" t="s">
        <v>35</v>
      </c>
      <c r="F216" t="s">
        <v>36</v>
      </c>
      <c r="G216" t="s">
        <v>30</v>
      </c>
      <c r="H216">
        <v>62.08</v>
      </c>
      <c r="I216">
        <v>760</v>
      </c>
      <c r="J216">
        <v>47180.800000000003</v>
      </c>
      <c r="K216" t="s">
        <v>17</v>
      </c>
    </row>
    <row r="217" spans="1:11" x14ac:dyDescent="0.35">
      <c r="A217" t="s">
        <v>255</v>
      </c>
      <c r="B217" t="s">
        <v>33</v>
      </c>
      <c r="C217" s="1">
        <v>44958</v>
      </c>
      <c r="D217" t="s">
        <v>13</v>
      </c>
      <c r="E217" t="s">
        <v>14</v>
      </c>
      <c r="F217" t="s">
        <v>15</v>
      </c>
      <c r="G217" t="s">
        <v>23</v>
      </c>
      <c r="H217">
        <v>38.49</v>
      </c>
      <c r="I217">
        <v>867</v>
      </c>
      <c r="J217">
        <v>33370.83</v>
      </c>
      <c r="K217" t="s">
        <v>24</v>
      </c>
    </row>
    <row r="218" spans="1:11" x14ac:dyDescent="0.35">
      <c r="A218" t="s">
        <v>256</v>
      </c>
      <c r="B218" t="s">
        <v>39</v>
      </c>
      <c r="C218" s="1">
        <v>44937</v>
      </c>
      <c r="D218" t="s">
        <v>20</v>
      </c>
      <c r="E218" t="s">
        <v>21</v>
      </c>
      <c r="F218" t="s">
        <v>22</v>
      </c>
      <c r="G218" t="s">
        <v>16</v>
      </c>
      <c r="H218">
        <v>80.12</v>
      </c>
      <c r="I218">
        <v>746</v>
      </c>
      <c r="J218">
        <v>59769.52</v>
      </c>
      <c r="K218" t="s">
        <v>31</v>
      </c>
    </row>
    <row r="219" spans="1:11" x14ac:dyDescent="0.35">
      <c r="A219" t="s">
        <v>257</v>
      </c>
      <c r="B219" t="s">
        <v>12</v>
      </c>
      <c r="C219" s="1">
        <v>44988</v>
      </c>
      <c r="D219" t="s">
        <v>27</v>
      </c>
      <c r="E219" t="s">
        <v>28</v>
      </c>
      <c r="F219" t="s">
        <v>29</v>
      </c>
      <c r="G219" t="s">
        <v>30</v>
      </c>
      <c r="H219">
        <v>26.37</v>
      </c>
      <c r="I219">
        <v>1025</v>
      </c>
      <c r="J219">
        <v>27029.25</v>
      </c>
      <c r="K219" t="s">
        <v>17</v>
      </c>
    </row>
    <row r="220" spans="1:11" x14ac:dyDescent="0.35">
      <c r="A220" t="s">
        <v>258</v>
      </c>
      <c r="B220" t="s">
        <v>19</v>
      </c>
      <c r="C220" s="1">
        <v>44977</v>
      </c>
      <c r="D220" t="s">
        <v>40</v>
      </c>
      <c r="E220" t="s">
        <v>41</v>
      </c>
      <c r="F220" t="s">
        <v>42</v>
      </c>
      <c r="G220" t="s">
        <v>44</v>
      </c>
      <c r="H220">
        <v>54.18</v>
      </c>
      <c r="I220">
        <v>1151</v>
      </c>
      <c r="J220">
        <v>62361.18</v>
      </c>
      <c r="K220" t="s">
        <v>24</v>
      </c>
    </row>
    <row r="221" spans="1:11" x14ac:dyDescent="0.35">
      <c r="A221" t="s">
        <v>259</v>
      </c>
      <c r="B221" t="s">
        <v>26</v>
      </c>
      <c r="C221" s="1">
        <v>44934</v>
      </c>
      <c r="D221" t="s">
        <v>34</v>
      </c>
      <c r="E221" t="s">
        <v>48</v>
      </c>
      <c r="F221" t="s">
        <v>49</v>
      </c>
      <c r="G221" t="s">
        <v>37</v>
      </c>
      <c r="H221">
        <v>68.52</v>
      </c>
      <c r="I221">
        <v>956</v>
      </c>
      <c r="J221">
        <v>65505.120000000003</v>
      </c>
      <c r="K221" t="s">
        <v>31</v>
      </c>
    </row>
    <row r="222" spans="1:11" x14ac:dyDescent="0.35">
      <c r="A222" t="s">
        <v>260</v>
      </c>
      <c r="B222" t="s">
        <v>33</v>
      </c>
      <c r="C222" s="1">
        <v>44987</v>
      </c>
      <c r="D222" t="s">
        <v>13</v>
      </c>
      <c r="E222" t="s">
        <v>14</v>
      </c>
      <c r="F222" t="s">
        <v>15</v>
      </c>
      <c r="G222" t="s">
        <v>16</v>
      </c>
      <c r="H222">
        <v>39.28</v>
      </c>
      <c r="I222">
        <v>751</v>
      </c>
      <c r="J222">
        <v>29499.279999999999</v>
      </c>
      <c r="K222" t="s">
        <v>17</v>
      </c>
    </row>
    <row r="223" spans="1:11" x14ac:dyDescent="0.35">
      <c r="A223" t="s">
        <v>261</v>
      </c>
      <c r="B223" t="s">
        <v>39</v>
      </c>
      <c r="C223" s="1">
        <v>44964</v>
      </c>
      <c r="D223" t="s">
        <v>20</v>
      </c>
      <c r="E223" t="s">
        <v>21</v>
      </c>
      <c r="F223" t="s">
        <v>22</v>
      </c>
      <c r="G223" t="s">
        <v>23</v>
      </c>
      <c r="H223">
        <v>45.91</v>
      </c>
      <c r="I223">
        <v>799</v>
      </c>
      <c r="J223">
        <v>36682.089999999997</v>
      </c>
      <c r="K223" t="s">
        <v>24</v>
      </c>
    </row>
    <row r="224" spans="1:11" x14ac:dyDescent="0.35">
      <c r="A224" t="s">
        <v>262</v>
      </c>
      <c r="B224" t="s">
        <v>12</v>
      </c>
      <c r="C224" s="1">
        <v>44927</v>
      </c>
      <c r="D224" t="s">
        <v>27</v>
      </c>
      <c r="E224" t="s">
        <v>28</v>
      </c>
      <c r="F224" t="s">
        <v>29</v>
      </c>
      <c r="G224" t="s">
        <v>30</v>
      </c>
      <c r="H224">
        <v>22.47</v>
      </c>
      <c r="I224">
        <v>1154</v>
      </c>
      <c r="J224">
        <v>25930.38</v>
      </c>
      <c r="K224" t="s">
        <v>31</v>
      </c>
    </row>
    <row r="225" spans="1:11" x14ac:dyDescent="0.35">
      <c r="A225" t="s">
        <v>263</v>
      </c>
      <c r="B225" t="s">
        <v>19</v>
      </c>
      <c r="C225" s="1">
        <v>45004</v>
      </c>
      <c r="D225" t="s">
        <v>40</v>
      </c>
      <c r="E225" t="s">
        <v>41</v>
      </c>
      <c r="F225" t="s">
        <v>42</v>
      </c>
      <c r="G225" t="s">
        <v>37</v>
      </c>
      <c r="H225">
        <v>75.349999999999994</v>
      </c>
      <c r="I225">
        <v>813</v>
      </c>
      <c r="J225">
        <v>61259.55</v>
      </c>
      <c r="K225" t="s">
        <v>17</v>
      </c>
    </row>
    <row r="226" spans="1:11" x14ac:dyDescent="0.35">
      <c r="A226" t="s">
        <v>264</v>
      </c>
      <c r="B226" t="s">
        <v>26</v>
      </c>
      <c r="C226" s="1">
        <v>44971</v>
      </c>
      <c r="D226" t="s">
        <v>34</v>
      </c>
      <c r="E226" t="s">
        <v>35</v>
      </c>
      <c r="F226" t="s">
        <v>36</v>
      </c>
      <c r="G226" t="s">
        <v>30</v>
      </c>
      <c r="H226">
        <v>34.29</v>
      </c>
      <c r="I226">
        <v>746</v>
      </c>
      <c r="J226">
        <v>25580.34</v>
      </c>
      <c r="K226" t="s">
        <v>24</v>
      </c>
    </row>
    <row r="227" spans="1:11" x14ac:dyDescent="0.35">
      <c r="A227" t="s">
        <v>265</v>
      </c>
      <c r="B227" t="s">
        <v>33</v>
      </c>
      <c r="C227" s="1">
        <v>44953</v>
      </c>
      <c r="D227" t="s">
        <v>13</v>
      </c>
      <c r="E227" t="s">
        <v>14</v>
      </c>
      <c r="F227" t="s">
        <v>15</v>
      </c>
      <c r="G227" t="s">
        <v>44</v>
      </c>
      <c r="H227">
        <v>51.68</v>
      </c>
      <c r="I227">
        <v>1002</v>
      </c>
      <c r="J227">
        <v>51783.360000000001</v>
      </c>
      <c r="K227" t="s">
        <v>31</v>
      </c>
    </row>
    <row r="228" spans="1:11" x14ac:dyDescent="0.35">
      <c r="A228" t="s">
        <v>266</v>
      </c>
      <c r="B228" t="s">
        <v>39</v>
      </c>
      <c r="C228" s="1">
        <v>44997</v>
      </c>
      <c r="D228" t="s">
        <v>20</v>
      </c>
      <c r="E228" t="s">
        <v>21</v>
      </c>
      <c r="F228" t="s">
        <v>22</v>
      </c>
      <c r="G228" t="s">
        <v>16</v>
      </c>
      <c r="H228">
        <v>29.75</v>
      </c>
      <c r="I228">
        <v>977</v>
      </c>
      <c r="J228">
        <v>29065.75</v>
      </c>
      <c r="K228" t="s">
        <v>17</v>
      </c>
    </row>
    <row r="229" spans="1:11" x14ac:dyDescent="0.35">
      <c r="A229" t="s">
        <v>267</v>
      </c>
      <c r="B229" t="s">
        <v>12</v>
      </c>
      <c r="C229" s="1">
        <v>44963</v>
      </c>
      <c r="D229" t="s">
        <v>27</v>
      </c>
      <c r="E229" t="s">
        <v>28</v>
      </c>
      <c r="F229" t="s">
        <v>29</v>
      </c>
      <c r="G229" t="s">
        <v>23</v>
      </c>
      <c r="H229">
        <v>83.47</v>
      </c>
      <c r="I229">
        <v>932</v>
      </c>
      <c r="J229">
        <v>77794.039999999994</v>
      </c>
      <c r="K229" t="s">
        <v>24</v>
      </c>
    </row>
    <row r="230" spans="1:11" x14ac:dyDescent="0.35">
      <c r="A230" t="s">
        <v>268</v>
      </c>
      <c r="B230" t="s">
        <v>19</v>
      </c>
      <c r="C230" s="1">
        <v>44934</v>
      </c>
      <c r="D230" t="s">
        <v>40</v>
      </c>
      <c r="E230" t="s">
        <v>41</v>
      </c>
      <c r="F230" t="s">
        <v>42</v>
      </c>
      <c r="G230" t="s">
        <v>30</v>
      </c>
      <c r="H230">
        <v>40.130000000000003</v>
      </c>
      <c r="I230">
        <v>885</v>
      </c>
      <c r="J230">
        <v>35515.050000000003</v>
      </c>
      <c r="K230" t="s">
        <v>31</v>
      </c>
    </row>
    <row r="231" spans="1:11" x14ac:dyDescent="0.35">
      <c r="A231" t="s">
        <v>269</v>
      </c>
      <c r="B231" t="s">
        <v>26</v>
      </c>
      <c r="C231" s="1">
        <v>45009</v>
      </c>
      <c r="D231" t="s">
        <v>34</v>
      </c>
      <c r="E231" t="s">
        <v>48</v>
      </c>
      <c r="F231" t="s">
        <v>49</v>
      </c>
      <c r="G231" t="s">
        <v>37</v>
      </c>
      <c r="H231">
        <v>54.92</v>
      </c>
      <c r="I231">
        <v>1080</v>
      </c>
      <c r="J231">
        <v>59313.599999999999</v>
      </c>
      <c r="K231" t="s">
        <v>17</v>
      </c>
    </row>
    <row r="232" spans="1:11" x14ac:dyDescent="0.35">
      <c r="A232" t="s">
        <v>270</v>
      </c>
      <c r="B232" t="s">
        <v>33</v>
      </c>
      <c r="C232" s="1">
        <v>44969</v>
      </c>
      <c r="D232" t="s">
        <v>13</v>
      </c>
      <c r="E232" t="s">
        <v>14</v>
      </c>
      <c r="F232" t="s">
        <v>15</v>
      </c>
      <c r="G232" t="s">
        <v>16</v>
      </c>
      <c r="H232">
        <v>62.79</v>
      </c>
      <c r="I232">
        <v>668</v>
      </c>
      <c r="J232">
        <v>41943.72</v>
      </c>
      <c r="K232" t="s">
        <v>24</v>
      </c>
    </row>
    <row r="233" spans="1:11" x14ac:dyDescent="0.35">
      <c r="A233" t="s">
        <v>271</v>
      </c>
      <c r="B233" t="s">
        <v>39</v>
      </c>
      <c r="C233" s="1">
        <v>44927</v>
      </c>
      <c r="D233" t="s">
        <v>20</v>
      </c>
      <c r="E233" t="s">
        <v>21</v>
      </c>
      <c r="F233" t="s">
        <v>22</v>
      </c>
      <c r="G233" t="s">
        <v>44</v>
      </c>
      <c r="H233">
        <v>26.35</v>
      </c>
      <c r="I233">
        <v>478</v>
      </c>
      <c r="J233">
        <v>12595.3</v>
      </c>
      <c r="K233" t="s">
        <v>31</v>
      </c>
    </row>
    <row r="234" spans="1:11" x14ac:dyDescent="0.35">
      <c r="A234" t="s">
        <v>272</v>
      </c>
      <c r="B234" t="s">
        <v>12</v>
      </c>
      <c r="C234" s="1">
        <v>45004</v>
      </c>
      <c r="D234" t="s">
        <v>27</v>
      </c>
      <c r="E234" t="s">
        <v>28</v>
      </c>
      <c r="F234" t="s">
        <v>29</v>
      </c>
      <c r="G234" t="s">
        <v>30</v>
      </c>
      <c r="H234">
        <v>47.21</v>
      </c>
      <c r="I234">
        <v>915</v>
      </c>
      <c r="J234">
        <v>43197.15</v>
      </c>
      <c r="K234" t="s">
        <v>17</v>
      </c>
    </row>
    <row r="235" spans="1:11" x14ac:dyDescent="0.35">
      <c r="A235" t="s">
        <v>273</v>
      </c>
      <c r="B235" t="s">
        <v>19</v>
      </c>
      <c r="C235" s="1">
        <v>44963</v>
      </c>
      <c r="D235" t="s">
        <v>40</v>
      </c>
      <c r="E235" t="s">
        <v>41</v>
      </c>
      <c r="F235" t="s">
        <v>42</v>
      </c>
      <c r="G235" t="s">
        <v>23</v>
      </c>
      <c r="H235">
        <v>64.260000000000005</v>
      </c>
      <c r="I235">
        <v>1003</v>
      </c>
      <c r="J235">
        <v>64452.78</v>
      </c>
      <c r="K235" t="s">
        <v>24</v>
      </c>
    </row>
    <row r="236" spans="1:11" x14ac:dyDescent="0.35">
      <c r="A236" t="s">
        <v>274</v>
      </c>
      <c r="B236" t="s">
        <v>26</v>
      </c>
      <c r="C236" s="1">
        <v>44957</v>
      </c>
      <c r="D236" t="s">
        <v>34</v>
      </c>
      <c r="E236" t="s">
        <v>35</v>
      </c>
      <c r="F236" t="s">
        <v>36</v>
      </c>
      <c r="G236" t="s">
        <v>50</v>
      </c>
      <c r="H236">
        <v>28.19</v>
      </c>
      <c r="I236">
        <v>1025</v>
      </c>
      <c r="J236">
        <v>28894.75</v>
      </c>
      <c r="K236" t="s">
        <v>31</v>
      </c>
    </row>
    <row r="237" spans="1:11" x14ac:dyDescent="0.35">
      <c r="A237" t="s">
        <v>275</v>
      </c>
      <c r="B237" t="s">
        <v>33</v>
      </c>
      <c r="C237" s="1">
        <v>45001</v>
      </c>
      <c r="D237" t="s">
        <v>13</v>
      </c>
      <c r="E237" t="s">
        <v>14</v>
      </c>
      <c r="F237" t="s">
        <v>15</v>
      </c>
      <c r="G237" t="s">
        <v>16</v>
      </c>
      <c r="H237">
        <v>81.239999999999995</v>
      </c>
      <c r="I237">
        <v>1096</v>
      </c>
      <c r="J237">
        <v>89039.039999999994</v>
      </c>
      <c r="K237" t="s">
        <v>17</v>
      </c>
    </row>
    <row r="238" spans="1:11" x14ac:dyDescent="0.35">
      <c r="A238" t="s">
        <v>276</v>
      </c>
      <c r="B238" t="s">
        <v>39</v>
      </c>
      <c r="C238" s="1">
        <v>44966</v>
      </c>
      <c r="D238" t="s">
        <v>20</v>
      </c>
      <c r="E238" t="s">
        <v>21</v>
      </c>
      <c r="F238" t="s">
        <v>22</v>
      </c>
      <c r="G238" t="s">
        <v>30</v>
      </c>
      <c r="H238">
        <v>35.67</v>
      </c>
      <c r="I238">
        <v>722</v>
      </c>
      <c r="J238">
        <v>25753.74</v>
      </c>
      <c r="K238" t="s">
        <v>24</v>
      </c>
    </row>
    <row r="239" spans="1:11" x14ac:dyDescent="0.35">
      <c r="A239" t="s">
        <v>277</v>
      </c>
      <c r="B239" t="s">
        <v>12</v>
      </c>
      <c r="C239" s="1">
        <v>44954</v>
      </c>
      <c r="D239" t="s">
        <v>27</v>
      </c>
      <c r="E239" t="s">
        <v>28</v>
      </c>
      <c r="F239" t="s">
        <v>29</v>
      </c>
      <c r="G239" t="s">
        <v>37</v>
      </c>
      <c r="H239">
        <v>59.83</v>
      </c>
      <c r="I239">
        <v>986</v>
      </c>
      <c r="J239">
        <v>58992.38</v>
      </c>
      <c r="K239" t="s">
        <v>31</v>
      </c>
    </row>
    <row r="240" spans="1:11" x14ac:dyDescent="0.35">
      <c r="A240" t="s">
        <v>278</v>
      </c>
      <c r="B240" t="s">
        <v>19</v>
      </c>
      <c r="C240" s="1">
        <v>44998</v>
      </c>
      <c r="D240" t="s">
        <v>40</v>
      </c>
      <c r="E240" t="s">
        <v>41</v>
      </c>
      <c r="F240" t="s">
        <v>42</v>
      </c>
      <c r="G240" t="s">
        <v>30</v>
      </c>
      <c r="H240">
        <v>41.94</v>
      </c>
      <c r="I240">
        <v>1191</v>
      </c>
      <c r="J240">
        <v>49950.54</v>
      </c>
      <c r="K240" t="s">
        <v>17</v>
      </c>
    </row>
    <row r="241" spans="1:11" x14ac:dyDescent="0.35">
      <c r="A241" t="s">
        <v>279</v>
      </c>
      <c r="B241" t="s">
        <v>26</v>
      </c>
      <c r="C241" s="1">
        <v>44971</v>
      </c>
      <c r="D241" t="s">
        <v>34</v>
      </c>
      <c r="E241" t="s">
        <v>48</v>
      </c>
      <c r="F241" t="s">
        <v>49</v>
      </c>
      <c r="G241" t="s">
        <v>50</v>
      </c>
      <c r="H241">
        <v>32.08</v>
      </c>
      <c r="I241">
        <v>889</v>
      </c>
      <c r="J241">
        <v>28519.119999999999</v>
      </c>
      <c r="K241" t="s">
        <v>24</v>
      </c>
    </row>
    <row r="242" spans="1:11" x14ac:dyDescent="0.35">
      <c r="A242" t="s">
        <v>280</v>
      </c>
      <c r="B242" t="s">
        <v>33</v>
      </c>
      <c r="C242" s="1">
        <v>44937</v>
      </c>
      <c r="D242" t="s">
        <v>13</v>
      </c>
      <c r="E242" t="s">
        <v>14</v>
      </c>
      <c r="F242" t="s">
        <v>15</v>
      </c>
      <c r="G242" t="s">
        <v>44</v>
      </c>
      <c r="H242">
        <v>75.19</v>
      </c>
      <c r="I242">
        <v>765</v>
      </c>
      <c r="J242">
        <v>57520.35</v>
      </c>
      <c r="K242" t="s">
        <v>31</v>
      </c>
    </row>
    <row r="243" spans="1:11" x14ac:dyDescent="0.35">
      <c r="A243" t="s">
        <v>281</v>
      </c>
      <c r="B243" t="s">
        <v>39</v>
      </c>
      <c r="C243" s="1">
        <v>44994</v>
      </c>
      <c r="D243" t="s">
        <v>20</v>
      </c>
      <c r="E243" t="s">
        <v>21</v>
      </c>
      <c r="F243" t="s">
        <v>22</v>
      </c>
      <c r="G243" t="s">
        <v>16</v>
      </c>
      <c r="H243">
        <v>47.84</v>
      </c>
      <c r="I243">
        <v>1102</v>
      </c>
      <c r="J243">
        <v>52719.68</v>
      </c>
      <c r="K243" t="s">
        <v>17</v>
      </c>
    </row>
    <row r="244" spans="1:11" x14ac:dyDescent="0.35">
      <c r="A244" t="s">
        <v>282</v>
      </c>
      <c r="B244" t="s">
        <v>12</v>
      </c>
      <c r="C244" s="1">
        <v>44980</v>
      </c>
      <c r="D244" t="s">
        <v>27</v>
      </c>
      <c r="E244" t="s">
        <v>28</v>
      </c>
      <c r="F244" t="s">
        <v>29</v>
      </c>
      <c r="G244" t="s">
        <v>23</v>
      </c>
      <c r="H244">
        <v>28.46</v>
      </c>
      <c r="I244">
        <v>666</v>
      </c>
      <c r="J244">
        <v>18954.36</v>
      </c>
      <c r="K244" t="s">
        <v>24</v>
      </c>
    </row>
    <row r="245" spans="1:11" x14ac:dyDescent="0.35">
      <c r="A245" t="s">
        <v>283</v>
      </c>
      <c r="B245" t="s">
        <v>19</v>
      </c>
      <c r="C245" s="1">
        <v>44938</v>
      </c>
      <c r="D245" t="s">
        <v>40</v>
      </c>
      <c r="E245" t="s">
        <v>41</v>
      </c>
      <c r="F245" t="s">
        <v>42</v>
      </c>
      <c r="G245" t="s">
        <v>37</v>
      </c>
      <c r="H245">
        <v>63.32</v>
      </c>
      <c r="I245">
        <v>1093</v>
      </c>
      <c r="J245">
        <v>69208.759999999995</v>
      </c>
      <c r="K245" t="s">
        <v>31</v>
      </c>
    </row>
    <row r="246" spans="1:11" x14ac:dyDescent="0.35">
      <c r="A246" t="s">
        <v>284</v>
      </c>
      <c r="B246" t="s">
        <v>26</v>
      </c>
      <c r="C246" s="1">
        <v>45014</v>
      </c>
      <c r="D246" t="s">
        <v>34</v>
      </c>
      <c r="E246" t="s">
        <v>35</v>
      </c>
      <c r="F246" t="s">
        <v>36</v>
      </c>
      <c r="G246" t="s">
        <v>30</v>
      </c>
      <c r="H246">
        <v>34.979999999999997</v>
      </c>
      <c r="I246">
        <v>985</v>
      </c>
      <c r="J246">
        <v>34455.300000000003</v>
      </c>
      <c r="K246" t="s">
        <v>17</v>
      </c>
    </row>
    <row r="247" spans="1:11" x14ac:dyDescent="0.35">
      <c r="A247" t="s">
        <v>285</v>
      </c>
      <c r="B247" t="s">
        <v>33</v>
      </c>
      <c r="C247" s="1">
        <v>44969</v>
      </c>
      <c r="D247" t="s">
        <v>13</v>
      </c>
      <c r="E247" t="s">
        <v>14</v>
      </c>
      <c r="F247" t="s">
        <v>15</v>
      </c>
      <c r="G247" t="s">
        <v>16</v>
      </c>
      <c r="H247">
        <v>51.57</v>
      </c>
      <c r="I247">
        <v>829</v>
      </c>
      <c r="J247">
        <v>42751.53</v>
      </c>
      <c r="K247" t="s">
        <v>24</v>
      </c>
    </row>
    <row r="248" spans="1:11" x14ac:dyDescent="0.35">
      <c r="A248" t="s">
        <v>286</v>
      </c>
      <c r="B248" t="s">
        <v>39</v>
      </c>
      <c r="C248" s="1">
        <v>44933</v>
      </c>
      <c r="D248" t="s">
        <v>20</v>
      </c>
      <c r="E248" t="s">
        <v>21</v>
      </c>
      <c r="F248" t="s">
        <v>22</v>
      </c>
      <c r="G248" t="s">
        <v>23</v>
      </c>
      <c r="H248">
        <v>69.650000000000006</v>
      </c>
      <c r="I248">
        <v>925</v>
      </c>
      <c r="J248">
        <v>64426.25</v>
      </c>
      <c r="K248" t="s">
        <v>31</v>
      </c>
    </row>
    <row r="249" spans="1:11" x14ac:dyDescent="0.35">
      <c r="A249" t="s">
        <v>287</v>
      </c>
      <c r="B249" t="s">
        <v>12</v>
      </c>
      <c r="C249" s="1">
        <v>44989</v>
      </c>
      <c r="D249" t="s">
        <v>27</v>
      </c>
      <c r="E249" t="s">
        <v>28</v>
      </c>
      <c r="F249" t="s">
        <v>29</v>
      </c>
      <c r="G249" t="s">
        <v>30</v>
      </c>
      <c r="H249">
        <v>38.79</v>
      </c>
      <c r="I249">
        <v>1098</v>
      </c>
      <c r="J249">
        <v>42591.42</v>
      </c>
      <c r="K249" t="s">
        <v>17</v>
      </c>
    </row>
    <row r="250" spans="1:11" x14ac:dyDescent="0.35">
      <c r="A250" t="s">
        <v>288</v>
      </c>
      <c r="B250" t="s">
        <v>19</v>
      </c>
      <c r="C250" s="1">
        <v>44976</v>
      </c>
      <c r="D250" t="s">
        <v>40</v>
      </c>
      <c r="E250" t="s">
        <v>41</v>
      </c>
      <c r="F250" t="s">
        <v>42</v>
      </c>
      <c r="G250" t="s">
        <v>44</v>
      </c>
      <c r="H250">
        <v>22.34</v>
      </c>
      <c r="I250">
        <v>1090</v>
      </c>
      <c r="J250">
        <v>24350.6</v>
      </c>
      <c r="K250" t="s">
        <v>24</v>
      </c>
    </row>
    <row r="251" spans="1:11" x14ac:dyDescent="0.35">
      <c r="A251" t="s">
        <v>289</v>
      </c>
      <c r="B251" t="s">
        <v>26</v>
      </c>
      <c r="C251" s="1">
        <v>44935</v>
      </c>
      <c r="D251" t="s">
        <v>34</v>
      </c>
      <c r="E251" t="s">
        <v>48</v>
      </c>
      <c r="F251" t="s">
        <v>49</v>
      </c>
      <c r="G251" t="s">
        <v>37</v>
      </c>
      <c r="H251">
        <v>56.42</v>
      </c>
      <c r="I251">
        <v>1052</v>
      </c>
      <c r="J251">
        <v>59353.84</v>
      </c>
      <c r="K251" t="s">
        <v>31</v>
      </c>
    </row>
    <row r="252" spans="1:11" x14ac:dyDescent="0.35">
      <c r="A252" t="s">
        <v>290</v>
      </c>
      <c r="B252" t="s">
        <v>33</v>
      </c>
      <c r="C252" s="1">
        <v>45005</v>
      </c>
      <c r="D252" t="s">
        <v>13</v>
      </c>
      <c r="E252" t="s">
        <v>14</v>
      </c>
      <c r="F252" t="s">
        <v>15</v>
      </c>
      <c r="G252" t="s">
        <v>16</v>
      </c>
      <c r="H252">
        <v>44.55</v>
      </c>
      <c r="I252">
        <v>667</v>
      </c>
      <c r="J252">
        <v>29714.85</v>
      </c>
      <c r="K252" t="s">
        <v>17</v>
      </c>
    </row>
    <row r="253" spans="1:11" x14ac:dyDescent="0.35">
      <c r="A253" t="s">
        <v>291</v>
      </c>
      <c r="B253" t="s">
        <v>39</v>
      </c>
      <c r="C253" s="1">
        <v>44963</v>
      </c>
      <c r="D253" t="s">
        <v>20</v>
      </c>
      <c r="E253" t="s">
        <v>21</v>
      </c>
      <c r="F253" t="s">
        <v>22</v>
      </c>
      <c r="G253" t="s">
        <v>30</v>
      </c>
      <c r="H253">
        <v>66.27</v>
      </c>
      <c r="I253">
        <v>1095</v>
      </c>
      <c r="J253">
        <v>72565.649999999994</v>
      </c>
      <c r="K253" t="s">
        <v>24</v>
      </c>
    </row>
    <row r="254" spans="1:11" x14ac:dyDescent="0.35">
      <c r="A254" t="s">
        <v>292</v>
      </c>
      <c r="B254" t="s">
        <v>12</v>
      </c>
      <c r="C254" s="1">
        <v>44928</v>
      </c>
      <c r="D254" t="s">
        <v>27</v>
      </c>
      <c r="E254" t="s">
        <v>28</v>
      </c>
      <c r="F254" t="s">
        <v>29</v>
      </c>
      <c r="G254" t="s">
        <v>37</v>
      </c>
      <c r="H254">
        <v>47.28</v>
      </c>
      <c r="I254">
        <v>856</v>
      </c>
      <c r="J254">
        <v>40471.68</v>
      </c>
      <c r="K254" t="s">
        <v>31</v>
      </c>
    </row>
    <row r="255" spans="1:11" x14ac:dyDescent="0.35">
      <c r="A255" t="s">
        <v>293</v>
      </c>
      <c r="B255" t="s">
        <v>19</v>
      </c>
      <c r="C255" s="1">
        <v>44994</v>
      </c>
      <c r="D255" t="s">
        <v>40</v>
      </c>
      <c r="E255" t="s">
        <v>41</v>
      </c>
      <c r="F255" t="s">
        <v>42</v>
      </c>
      <c r="G255" t="s">
        <v>16</v>
      </c>
      <c r="H255">
        <v>29.43</v>
      </c>
      <c r="I255">
        <v>1173</v>
      </c>
      <c r="J255">
        <v>34521.39</v>
      </c>
      <c r="K255" t="s">
        <v>17</v>
      </c>
    </row>
    <row r="256" spans="1:11" x14ac:dyDescent="0.35">
      <c r="A256" t="s">
        <v>294</v>
      </c>
      <c r="B256" t="s">
        <v>26</v>
      </c>
      <c r="C256" s="1">
        <v>44958</v>
      </c>
      <c r="D256" t="s">
        <v>34</v>
      </c>
      <c r="E256" t="s">
        <v>35</v>
      </c>
      <c r="F256" t="s">
        <v>36</v>
      </c>
      <c r="G256" t="s">
        <v>23</v>
      </c>
      <c r="H256">
        <v>52.17</v>
      </c>
      <c r="I256">
        <v>997</v>
      </c>
      <c r="J256">
        <v>52013.49</v>
      </c>
      <c r="K256" t="s">
        <v>24</v>
      </c>
    </row>
    <row r="257" spans="1:11" x14ac:dyDescent="0.35">
      <c r="A257" t="s">
        <v>295</v>
      </c>
      <c r="B257" t="s">
        <v>33</v>
      </c>
      <c r="C257" s="1">
        <v>45011</v>
      </c>
      <c r="D257" t="s">
        <v>13</v>
      </c>
      <c r="E257" t="s">
        <v>14</v>
      </c>
      <c r="F257" t="s">
        <v>15</v>
      </c>
      <c r="G257" t="s">
        <v>30</v>
      </c>
      <c r="H257">
        <v>37.56</v>
      </c>
      <c r="I257">
        <v>986</v>
      </c>
      <c r="J257">
        <v>37034.160000000003</v>
      </c>
      <c r="K257" t="s">
        <v>31</v>
      </c>
    </row>
    <row r="258" spans="1:11" x14ac:dyDescent="0.35">
      <c r="A258" t="s">
        <v>296</v>
      </c>
      <c r="B258" t="s">
        <v>39</v>
      </c>
      <c r="C258" s="1">
        <v>44946</v>
      </c>
      <c r="D258" t="s">
        <v>20</v>
      </c>
      <c r="E258" t="s">
        <v>21</v>
      </c>
      <c r="F258" t="s">
        <v>22</v>
      </c>
      <c r="G258" t="s">
        <v>44</v>
      </c>
      <c r="H258">
        <v>84.71</v>
      </c>
      <c r="I258">
        <v>1087</v>
      </c>
      <c r="J258">
        <v>92079.77</v>
      </c>
      <c r="K258" t="s">
        <v>17</v>
      </c>
    </row>
    <row r="259" spans="1:11" x14ac:dyDescent="0.35">
      <c r="A259" t="s">
        <v>297</v>
      </c>
      <c r="B259" t="s">
        <v>12</v>
      </c>
      <c r="C259" s="1">
        <v>45002</v>
      </c>
      <c r="D259" t="s">
        <v>27</v>
      </c>
      <c r="E259" t="s">
        <v>28</v>
      </c>
      <c r="F259" t="s">
        <v>29</v>
      </c>
      <c r="G259" t="s">
        <v>30</v>
      </c>
      <c r="H259">
        <v>31.69</v>
      </c>
      <c r="I259">
        <v>876</v>
      </c>
      <c r="J259">
        <v>27760.44</v>
      </c>
      <c r="K259" t="s">
        <v>24</v>
      </c>
    </row>
    <row r="260" spans="1:11" x14ac:dyDescent="0.35">
      <c r="A260" t="s">
        <v>298</v>
      </c>
      <c r="B260" t="s">
        <v>19</v>
      </c>
      <c r="C260" s="1">
        <v>44970</v>
      </c>
      <c r="D260" t="s">
        <v>40</v>
      </c>
      <c r="E260" t="s">
        <v>41</v>
      </c>
      <c r="F260" t="s">
        <v>42</v>
      </c>
      <c r="G260" t="s">
        <v>37</v>
      </c>
      <c r="H260">
        <v>48.42</v>
      </c>
      <c r="I260">
        <v>794</v>
      </c>
      <c r="J260">
        <v>38445.480000000003</v>
      </c>
      <c r="K260" t="s">
        <v>31</v>
      </c>
    </row>
    <row r="261" spans="1:11" x14ac:dyDescent="0.35">
      <c r="A261" t="s">
        <v>299</v>
      </c>
      <c r="B261" t="s">
        <v>26</v>
      </c>
      <c r="C261" s="1">
        <v>44934</v>
      </c>
      <c r="D261" t="s">
        <v>34</v>
      </c>
      <c r="E261" t="s">
        <v>48</v>
      </c>
      <c r="F261" t="s">
        <v>49</v>
      </c>
      <c r="G261" t="s">
        <v>16</v>
      </c>
      <c r="H261">
        <v>65.180000000000007</v>
      </c>
      <c r="I261">
        <v>1158</v>
      </c>
      <c r="J261">
        <v>75478.44</v>
      </c>
      <c r="K261" t="s">
        <v>17</v>
      </c>
    </row>
    <row r="262" spans="1:11" x14ac:dyDescent="0.35">
      <c r="A262" t="s">
        <v>300</v>
      </c>
      <c r="B262" t="s">
        <v>33</v>
      </c>
      <c r="C262" s="1">
        <v>44999</v>
      </c>
      <c r="D262" t="s">
        <v>13</v>
      </c>
      <c r="E262" t="s">
        <v>14</v>
      </c>
      <c r="F262" t="s">
        <v>15</v>
      </c>
      <c r="G262" t="s">
        <v>50</v>
      </c>
      <c r="H262">
        <v>21.84</v>
      </c>
      <c r="I262">
        <v>888</v>
      </c>
      <c r="J262">
        <v>19393.919999999998</v>
      </c>
      <c r="K262" t="s">
        <v>24</v>
      </c>
    </row>
    <row r="263" spans="1:11" x14ac:dyDescent="0.35">
      <c r="A263" t="s">
        <v>301</v>
      </c>
      <c r="B263" t="s">
        <v>39</v>
      </c>
      <c r="C263" s="1">
        <v>44950</v>
      </c>
      <c r="D263" t="s">
        <v>20</v>
      </c>
      <c r="E263" t="s">
        <v>21</v>
      </c>
      <c r="F263" t="s">
        <v>22</v>
      </c>
      <c r="G263" t="s">
        <v>30</v>
      </c>
      <c r="H263">
        <v>62.91</v>
      </c>
      <c r="I263">
        <v>986</v>
      </c>
      <c r="J263">
        <v>62029.26</v>
      </c>
      <c r="K263" t="s">
        <v>31</v>
      </c>
    </row>
    <row r="264" spans="1:11" x14ac:dyDescent="0.35">
      <c r="A264" t="s">
        <v>302</v>
      </c>
      <c r="B264" t="s">
        <v>12</v>
      </c>
      <c r="C264" s="1">
        <v>44977</v>
      </c>
      <c r="D264" t="s">
        <v>27</v>
      </c>
      <c r="E264" t="s">
        <v>28</v>
      </c>
      <c r="F264" t="s">
        <v>29</v>
      </c>
      <c r="G264" t="s">
        <v>23</v>
      </c>
      <c r="H264">
        <v>48.33</v>
      </c>
      <c r="I264">
        <v>1087</v>
      </c>
      <c r="J264">
        <v>52534.71</v>
      </c>
      <c r="K264" t="s">
        <v>17</v>
      </c>
    </row>
    <row r="265" spans="1:11" x14ac:dyDescent="0.35">
      <c r="A265" t="s">
        <v>303</v>
      </c>
      <c r="B265" t="s">
        <v>19</v>
      </c>
      <c r="C265" s="1">
        <v>44996</v>
      </c>
      <c r="D265" t="s">
        <v>40</v>
      </c>
      <c r="E265" t="s">
        <v>41</v>
      </c>
      <c r="F265" t="s">
        <v>42</v>
      </c>
      <c r="G265" t="s">
        <v>44</v>
      </c>
      <c r="H265">
        <v>25.66</v>
      </c>
      <c r="I265">
        <v>1003</v>
      </c>
      <c r="J265">
        <v>25736.98</v>
      </c>
      <c r="K265" t="s">
        <v>24</v>
      </c>
    </row>
    <row r="266" spans="1:11" x14ac:dyDescent="0.35">
      <c r="A266" t="s">
        <v>304</v>
      </c>
      <c r="B266" t="s">
        <v>26</v>
      </c>
      <c r="C266" s="1">
        <v>44928</v>
      </c>
      <c r="D266" t="s">
        <v>34</v>
      </c>
      <c r="E266" t="s">
        <v>35</v>
      </c>
      <c r="F266" t="s">
        <v>36</v>
      </c>
      <c r="G266" t="s">
        <v>37</v>
      </c>
      <c r="H266">
        <v>73.180000000000007</v>
      </c>
      <c r="I266">
        <v>1026</v>
      </c>
      <c r="J266">
        <v>75082.679999999993</v>
      </c>
      <c r="K266" t="s">
        <v>31</v>
      </c>
    </row>
    <row r="267" spans="1:11" x14ac:dyDescent="0.35">
      <c r="A267" t="s">
        <v>305</v>
      </c>
      <c r="B267" t="s">
        <v>33</v>
      </c>
      <c r="C267" s="1">
        <v>44994</v>
      </c>
      <c r="D267" t="s">
        <v>13</v>
      </c>
      <c r="E267" t="s">
        <v>14</v>
      </c>
      <c r="F267" t="s">
        <v>15</v>
      </c>
      <c r="G267" t="s">
        <v>16</v>
      </c>
      <c r="H267">
        <v>32.54</v>
      </c>
      <c r="I267">
        <v>1052</v>
      </c>
      <c r="J267">
        <v>34232.080000000002</v>
      </c>
      <c r="K267" t="s">
        <v>17</v>
      </c>
    </row>
    <row r="268" spans="1:11" x14ac:dyDescent="0.35">
      <c r="A268" t="s">
        <v>306</v>
      </c>
      <c r="B268" t="s">
        <v>39</v>
      </c>
      <c r="C268" s="1">
        <v>44983</v>
      </c>
      <c r="D268" t="s">
        <v>20</v>
      </c>
      <c r="E268" t="s">
        <v>21</v>
      </c>
      <c r="F268" t="s">
        <v>22</v>
      </c>
      <c r="G268" t="s">
        <v>30</v>
      </c>
      <c r="H268">
        <v>56.79</v>
      </c>
      <c r="I268">
        <v>1168</v>
      </c>
      <c r="J268">
        <v>66330.720000000001</v>
      </c>
      <c r="K268" t="s">
        <v>24</v>
      </c>
    </row>
    <row r="269" spans="1:11" x14ac:dyDescent="0.35">
      <c r="A269" t="s">
        <v>307</v>
      </c>
      <c r="B269" t="s">
        <v>12</v>
      </c>
      <c r="C269" s="1">
        <v>44955</v>
      </c>
      <c r="D269" t="s">
        <v>27</v>
      </c>
      <c r="E269" t="s">
        <v>28</v>
      </c>
      <c r="F269" t="s">
        <v>29</v>
      </c>
      <c r="G269" t="s">
        <v>30</v>
      </c>
      <c r="H269">
        <v>89.63</v>
      </c>
      <c r="I269">
        <v>588</v>
      </c>
      <c r="J269">
        <v>52702.44</v>
      </c>
      <c r="K269" t="s">
        <v>31</v>
      </c>
    </row>
    <row r="270" spans="1:11" x14ac:dyDescent="0.35">
      <c r="A270" t="s">
        <v>308</v>
      </c>
      <c r="B270" t="s">
        <v>19</v>
      </c>
      <c r="C270" s="1">
        <v>45005</v>
      </c>
      <c r="D270" t="s">
        <v>40</v>
      </c>
      <c r="E270" t="s">
        <v>41</v>
      </c>
      <c r="F270" t="s">
        <v>42</v>
      </c>
      <c r="G270" t="s">
        <v>23</v>
      </c>
      <c r="H270">
        <v>34.270000000000003</v>
      </c>
      <c r="I270">
        <v>834</v>
      </c>
      <c r="J270">
        <v>28581.18</v>
      </c>
      <c r="K270" t="s">
        <v>17</v>
      </c>
    </row>
    <row r="271" spans="1:11" x14ac:dyDescent="0.35">
      <c r="A271" t="s">
        <v>309</v>
      </c>
      <c r="B271" t="s">
        <v>26</v>
      </c>
      <c r="C271" s="1">
        <v>44963</v>
      </c>
      <c r="D271" t="s">
        <v>34</v>
      </c>
      <c r="E271" t="s">
        <v>48</v>
      </c>
      <c r="F271" t="s">
        <v>49</v>
      </c>
      <c r="G271" t="s">
        <v>37</v>
      </c>
      <c r="H271">
        <v>62.48</v>
      </c>
      <c r="I271">
        <v>1001</v>
      </c>
      <c r="J271">
        <v>62542.48</v>
      </c>
      <c r="K271" t="s">
        <v>24</v>
      </c>
    </row>
    <row r="272" spans="1:11" x14ac:dyDescent="0.35">
      <c r="A272" t="s">
        <v>310</v>
      </c>
      <c r="B272" t="s">
        <v>33</v>
      </c>
      <c r="C272" s="1">
        <v>44941</v>
      </c>
      <c r="D272" t="s">
        <v>13</v>
      </c>
      <c r="E272" t="s">
        <v>14</v>
      </c>
      <c r="F272" t="s">
        <v>15</v>
      </c>
      <c r="G272" t="s">
        <v>16</v>
      </c>
      <c r="H272">
        <v>41.26</v>
      </c>
      <c r="I272">
        <v>1067</v>
      </c>
      <c r="J272">
        <v>44024.42</v>
      </c>
      <c r="K272" t="s">
        <v>31</v>
      </c>
    </row>
    <row r="273" spans="1:11" x14ac:dyDescent="0.35">
      <c r="A273" t="s">
        <v>311</v>
      </c>
      <c r="B273" t="s">
        <v>39</v>
      </c>
      <c r="C273" s="1">
        <v>44993</v>
      </c>
      <c r="D273" t="s">
        <v>20</v>
      </c>
      <c r="E273" t="s">
        <v>21</v>
      </c>
      <c r="F273" t="s">
        <v>22</v>
      </c>
      <c r="G273" t="s">
        <v>44</v>
      </c>
      <c r="H273">
        <v>69.73</v>
      </c>
      <c r="I273">
        <v>903</v>
      </c>
      <c r="J273">
        <v>62966.19</v>
      </c>
      <c r="K273" t="s">
        <v>17</v>
      </c>
    </row>
    <row r="274" spans="1:11" x14ac:dyDescent="0.35">
      <c r="A274" t="s">
        <v>312</v>
      </c>
      <c r="B274" t="s">
        <v>12</v>
      </c>
      <c r="C274" s="1">
        <v>44958</v>
      </c>
      <c r="D274" t="s">
        <v>27</v>
      </c>
      <c r="E274" t="s">
        <v>28</v>
      </c>
      <c r="F274" t="s">
        <v>29</v>
      </c>
      <c r="G274" t="s">
        <v>30</v>
      </c>
      <c r="H274">
        <v>28.35</v>
      </c>
      <c r="I274">
        <v>1019</v>
      </c>
      <c r="J274">
        <v>28888.65</v>
      </c>
      <c r="K274" t="s">
        <v>24</v>
      </c>
    </row>
    <row r="275" spans="1:11" x14ac:dyDescent="0.35">
      <c r="A275" t="s">
        <v>313</v>
      </c>
      <c r="B275" t="s">
        <v>19</v>
      </c>
      <c r="C275" s="1">
        <v>44935</v>
      </c>
      <c r="D275" t="s">
        <v>40</v>
      </c>
      <c r="E275" t="s">
        <v>41</v>
      </c>
      <c r="F275" t="s">
        <v>42</v>
      </c>
      <c r="G275" t="s">
        <v>37</v>
      </c>
      <c r="H275">
        <v>57.94</v>
      </c>
      <c r="I275">
        <v>694</v>
      </c>
      <c r="J275">
        <v>40210.36</v>
      </c>
      <c r="K275" t="s">
        <v>31</v>
      </c>
    </row>
    <row r="276" spans="1:11" x14ac:dyDescent="0.35">
      <c r="A276" t="s">
        <v>314</v>
      </c>
      <c r="B276" t="s">
        <v>26</v>
      </c>
      <c r="C276" s="1">
        <v>45000</v>
      </c>
      <c r="D276" t="s">
        <v>34</v>
      </c>
      <c r="E276" t="s">
        <v>35</v>
      </c>
      <c r="F276" t="s">
        <v>36</v>
      </c>
      <c r="G276" t="s">
        <v>16</v>
      </c>
      <c r="H276">
        <v>40.619999999999997</v>
      </c>
      <c r="I276">
        <v>834</v>
      </c>
      <c r="J276">
        <v>33877.08</v>
      </c>
      <c r="K276" t="s">
        <v>17</v>
      </c>
    </row>
    <row r="277" spans="1:11" x14ac:dyDescent="0.35">
      <c r="A277" t="s">
        <v>315</v>
      </c>
      <c r="B277" t="s">
        <v>33</v>
      </c>
      <c r="C277" s="1">
        <v>44982</v>
      </c>
      <c r="D277" t="s">
        <v>13</v>
      </c>
      <c r="E277" t="s">
        <v>14</v>
      </c>
      <c r="F277" t="s">
        <v>15</v>
      </c>
      <c r="G277" t="s">
        <v>50</v>
      </c>
      <c r="H277">
        <v>23.47</v>
      </c>
      <c r="I277">
        <v>727</v>
      </c>
      <c r="J277">
        <v>17062.689999999999</v>
      </c>
      <c r="K277" t="s">
        <v>24</v>
      </c>
    </row>
    <row r="278" spans="1:11" x14ac:dyDescent="0.35">
      <c r="A278" t="s">
        <v>316</v>
      </c>
      <c r="B278" t="s">
        <v>39</v>
      </c>
      <c r="C278" s="1">
        <v>44947</v>
      </c>
      <c r="D278" t="s">
        <v>20</v>
      </c>
      <c r="E278" t="s">
        <v>21</v>
      </c>
      <c r="F278" t="s">
        <v>22</v>
      </c>
      <c r="G278" t="s">
        <v>30</v>
      </c>
      <c r="H278">
        <v>49.58</v>
      </c>
      <c r="I278">
        <v>1095</v>
      </c>
      <c r="J278">
        <v>54290.1</v>
      </c>
      <c r="K278" t="s">
        <v>31</v>
      </c>
    </row>
    <row r="279" spans="1:11" x14ac:dyDescent="0.35">
      <c r="A279" t="s">
        <v>317</v>
      </c>
      <c r="B279" t="s">
        <v>12</v>
      </c>
      <c r="C279" s="1">
        <v>44999</v>
      </c>
      <c r="D279" t="s">
        <v>27</v>
      </c>
      <c r="E279" t="s">
        <v>28</v>
      </c>
      <c r="F279" t="s">
        <v>29</v>
      </c>
      <c r="G279" t="s">
        <v>23</v>
      </c>
      <c r="H279">
        <v>77.31</v>
      </c>
      <c r="I279">
        <v>1074</v>
      </c>
      <c r="J279">
        <v>83030.94</v>
      </c>
      <c r="K279" t="s">
        <v>17</v>
      </c>
    </row>
    <row r="280" spans="1:11" x14ac:dyDescent="0.35">
      <c r="A280" t="s">
        <v>318</v>
      </c>
      <c r="B280" t="s">
        <v>19</v>
      </c>
      <c r="C280" s="1">
        <v>44963</v>
      </c>
      <c r="D280" t="s">
        <v>40</v>
      </c>
      <c r="E280" t="s">
        <v>41</v>
      </c>
      <c r="F280" t="s">
        <v>42</v>
      </c>
      <c r="G280" t="s">
        <v>30</v>
      </c>
      <c r="H280">
        <v>32.18</v>
      </c>
      <c r="I280">
        <v>1185</v>
      </c>
      <c r="J280">
        <v>38133.300000000003</v>
      </c>
      <c r="K280" t="s">
        <v>24</v>
      </c>
    </row>
    <row r="281" spans="1:11" x14ac:dyDescent="0.35">
      <c r="A281" t="s">
        <v>319</v>
      </c>
      <c r="B281" t="s">
        <v>26</v>
      </c>
      <c r="C281" s="1">
        <v>44949</v>
      </c>
      <c r="D281" t="s">
        <v>34</v>
      </c>
      <c r="E281" t="s">
        <v>48</v>
      </c>
      <c r="F281" t="s">
        <v>49</v>
      </c>
      <c r="G281" t="s">
        <v>37</v>
      </c>
      <c r="H281">
        <v>45.69</v>
      </c>
      <c r="I281">
        <v>902</v>
      </c>
      <c r="J281">
        <v>41212.379999999997</v>
      </c>
      <c r="K281" t="s">
        <v>31</v>
      </c>
    </row>
    <row r="282" spans="1:11" x14ac:dyDescent="0.35">
      <c r="A282" t="s">
        <v>320</v>
      </c>
      <c r="B282" t="s">
        <v>33</v>
      </c>
      <c r="C282" s="1">
        <v>44997</v>
      </c>
      <c r="D282" t="s">
        <v>13</v>
      </c>
      <c r="E282" t="s">
        <v>14</v>
      </c>
      <c r="F282" t="s">
        <v>15</v>
      </c>
      <c r="G282" t="s">
        <v>16</v>
      </c>
      <c r="H282">
        <v>68.55</v>
      </c>
      <c r="I282">
        <v>1162</v>
      </c>
      <c r="J282">
        <v>79655.100000000006</v>
      </c>
      <c r="K282" t="s">
        <v>17</v>
      </c>
    </row>
    <row r="283" spans="1:11" x14ac:dyDescent="0.35">
      <c r="A283" t="s">
        <v>321</v>
      </c>
      <c r="B283" t="s">
        <v>39</v>
      </c>
      <c r="C283" s="1">
        <v>44975</v>
      </c>
      <c r="D283" t="s">
        <v>20</v>
      </c>
      <c r="E283" t="s">
        <v>21</v>
      </c>
      <c r="F283" t="s">
        <v>22</v>
      </c>
      <c r="G283" t="s">
        <v>44</v>
      </c>
      <c r="H283">
        <v>36.119999999999997</v>
      </c>
      <c r="I283">
        <v>978</v>
      </c>
      <c r="J283">
        <v>35325.360000000001</v>
      </c>
      <c r="K283" t="s">
        <v>24</v>
      </c>
    </row>
    <row r="284" spans="1:11" x14ac:dyDescent="0.35">
      <c r="A284" t="s">
        <v>322</v>
      </c>
      <c r="B284" t="s">
        <v>12</v>
      </c>
      <c r="C284" s="1">
        <v>44927</v>
      </c>
      <c r="D284" t="s">
        <v>27</v>
      </c>
      <c r="E284" t="s">
        <v>28</v>
      </c>
      <c r="F284" t="s">
        <v>29</v>
      </c>
      <c r="G284" t="s">
        <v>30</v>
      </c>
      <c r="H284">
        <v>53.67</v>
      </c>
      <c r="I284">
        <v>1065</v>
      </c>
      <c r="J284">
        <v>57158.55</v>
      </c>
      <c r="K284" t="s">
        <v>31</v>
      </c>
    </row>
    <row r="285" spans="1:11" x14ac:dyDescent="0.35">
      <c r="A285" t="s">
        <v>323</v>
      </c>
      <c r="B285" t="s">
        <v>19</v>
      </c>
      <c r="C285" s="1">
        <v>45003</v>
      </c>
      <c r="D285" t="s">
        <v>40</v>
      </c>
      <c r="E285" t="s">
        <v>41</v>
      </c>
      <c r="F285" t="s">
        <v>42</v>
      </c>
      <c r="G285" t="s">
        <v>37</v>
      </c>
      <c r="H285">
        <v>24.88</v>
      </c>
      <c r="I285">
        <v>632</v>
      </c>
      <c r="J285">
        <v>15724.16</v>
      </c>
      <c r="K285" t="s">
        <v>17</v>
      </c>
    </row>
    <row r="286" spans="1:11" x14ac:dyDescent="0.35">
      <c r="A286" t="s">
        <v>324</v>
      </c>
      <c r="B286" t="s">
        <v>26</v>
      </c>
      <c r="C286" s="1">
        <v>44965</v>
      </c>
      <c r="D286" t="s">
        <v>34</v>
      </c>
      <c r="E286" t="s">
        <v>35</v>
      </c>
      <c r="F286" t="s">
        <v>36</v>
      </c>
      <c r="G286" t="s">
        <v>16</v>
      </c>
      <c r="H286">
        <v>61.74</v>
      </c>
      <c r="I286">
        <v>904</v>
      </c>
      <c r="J286">
        <v>55812.959999999999</v>
      </c>
      <c r="K286" t="s">
        <v>24</v>
      </c>
    </row>
    <row r="287" spans="1:11" x14ac:dyDescent="0.35">
      <c r="A287" t="s">
        <v>325</v>
      </c>
      <c r="B287" t="s">
        <v>33</v>
      </c>
      <c r="C287" s="1">
        <v>44942</v>
      </c>
      <c r="D287" t="s">
        <v>13</v>
      </c>
      <c r="E287" t="s">
        <v>14</v>
      </c>
      <c r="F287" t="s">
        <v>15</v>
      </c>
      <c r="G287" t="s">
        <v>50</v>
      </c>
      <c r="H287">
        <v>44.36</v>
      </c>
      <c r="I287">
        <v>1131</v>
      </c>
      <c r="J287">
        <v>50171.16</v>
      </c>
      <c r="K287" t="s">
        <v>31</v>
      </c>
    </row>
    <row r="288" spans="1:11" x14ac:dyDescent="0.35">
      <c r="A288" t="s">
        <v>326</v>
      </c>
      <c r="B288" t="s">
        <v>39</v>
      </c>
      <c r="C288" s="1">
        <v>44992</v>
      </c>
      <c r="D288" t="s">
        <v>20</v>
      </c>
      <c r="E288" t="s">
        <v>21</v>
      </c>
      <c r="F288" t="s">
        <v>22</v>
      </c>
      <c r="G288" t="s">
        <v>30</v>
      </c>
      <c r="H288">
        <v>71.19</v>
      </c>
      <c r="I288">
        <v>887</v>
      </c>
      <c r="J288">
        <v>63145.53</v>
      </c>
      <c r="K288" t="s">
        <v>17</v>
      </c>
    </row>
    <row r="289" spans="1:11" x14ac:dyDescent="0.35">
      <c r="A289" t="s">
        <v>327</v>
      </c>
      <c r="B289" t="s">
        <v>12</v>
      </c>
      <c r="C289" s="1">
        <v>44979</v>
      </c>
      <c r="D289" t="s">
        <v>27</v>
      </c>
      <c r="E289" t="s">
        <v>28</v>
      </c>
      <c r="F289" t="s">
        <v>29</v>
      </c>
      <c r="G289" t="s">
        <v>23</v>
      </c>
      <c r="H289">
        <v>58.15</v>
      </c>
      <c r="I289">
        <v>979</v>
      </c>
      <c r="J289">
        <v>56928.85</v>
      </c>
      <c r="K289" t="s">
        <v>24</v>
      </c>
    </row>
    <row r="290" spans="1:11" x14ac:dyDescent="0.35">
      <c r="A290" t="s">
        <v>328</v>
      </c>
      <c r="B290" t="s">
        <v>19</v>
      </c>
      <c r="C290" s="1">
        <v>44947</v>
      </c>
      <c r="D290" t="s">
        <v>40</v>
      </c>
      <c r="E290" t="s">
        <v>41</v>
      </c>
      <c r="F290" t="s">
        <v>42</v>
      </c>
      <c r="G290" t="s">
        <v>30</v>
      </c>
      <c r="H290">
        <v>39.17</v>
      </c>
      <c r="I290">
        <v>1144</v>
      </c>
      <c r="J290">
        <v>44810.48</v>
      </c>
      <c r="K290" t="s">
        <v>31</v>
      </c>
    </row>
    <row r="291" spans="1:11" x14ac:dyDescent="0.35">
      <c r="A291" t="s">
        <v>329</v>
      </c>
      <c r="B291" t="s">
        <v>26</v>
      </c>
      <c r="C291" s="1">
        <v>44999</v>
      </c>
      <c r="D291" t="s">
        <v>34</v>
      </c>
      <c r="E291" t="s">
        <v>48</v>
      </c>
      <c r="F291" t="s">
        <v>49</v>
      </c>
      <c r="G291" t="s">
        <v>37</v>
      </c>
      <c r="H291">
        <v>80.680000000000007</v>
      </c>
      <c r="I291">
        <v>1037</v>
      </c>
      <c r="J291">
        <v>83665.16</v>
      </c>
      <c r="K291" t="s">
        <v>17</v>
      </c>
    </row>
    <row r="292" spans="1:11" x14ac:dyDescent="0.35">
      <c r="A292" t="s">
        <v>330</v>
      </c>
      <c r="B292" t="s">
        <v>33</v>
      </c>
      <c r="C292" s="1">
        <v>44968</v>
      </c>
      <c r="D292" t="s">
        <v>13</v>
      </c>
      <c r="E292" t="s">
        <v>14</v>
      </c>
      <c r="F292" t="s">
        <v>15</v>
      </c>
      <c r="G292" t="s">
        <v>16</v>
      </c>
      <c r="H292">
        <v>32.86</v>
      </c>
      <c r="I292">
        <v>1019</v>
      </c>
      <c r="J292">
        <v>33484.339999999997</v>
      </c>
      <c r="K292" t="s">
        <v>24</v>
      </c>
    </row>
    <row r="293" spans="1:11" x14ac:dyDescent="0.35">
      <c r="A293" t="s">
        <v>331</v>
      </c>
      <c r="B293" t="s">
        <v>39</v>
      </c>
      <c r="C293" s="1">
        <v>44935</v>
      </c>
      <c r="D293" t="s">
        <v>20</v>
      </c>
      <c r="E293" t="s">
        <v>21</v>
      </c>
      <c r="F293" t="s">
        <v>22</v>
      </c>
      <c r="G293" t="s">
        <v>44</v>
      </c>
      <c r="H293">
        <v>59.12</v>
      </c>
      <c r="I293">
        <v>752</v>
      </c>
      <c r="J293">
        <v>44458.239999999998</v>
      </c>
      <c r="K293" t="s">
        <v>31</v>
      </c>
    </row>
    <row r="294" spans="1:11" x14ac:dyDescent="0.35">
      <c r="A294" t="s">
        <v>332</v>
      </c>
      <c r="B294" t="s">
        <v>12</v>
      </c>
      <c r="C294" s="1">
        <v>44988</v>
      </c>
      <c r="D294" t="s">
        <v>27</v>
      </c>
      <c r="E294" t="s">
        <v>28</v>
      </c>
      <c r="F294" t="s">
        <v>29</v>
      </c>
      <c r="G294" t="s">
        <v>30</v>
      </c>
      <c r="H294">
        <v>45.33</v>
      </c>
      <c r="I294">
        <v>955</v>
      </c>
      <c r="J294">
        <v>43290.15</v>
      </c>
      <c r="K294" t="s">
        <v>17</v>
      </c>
    </row>
    <row r="295" spans="1:11" x14ac:dyDescent="0.35">
      <c r="A295" t="s">
        <v>333</v>
      </c>
      <c r="B295" t="s">
        <v>19</v>
      </c>
      <c r="C295" s="1">
        <v>44977</v>
      </c>
      <c r="D295" t="s">
        <v>40</v>
      </c>
      <c r="E295" t="s">
        <v>41</v>
      </c>
      <c r="F295" t="s">
        <v>42</v>
      </c>
      <c r="G295" t="s">
        <v>37</v>
      </c>
      <c r="H295">
        <v>26.17</v>
      </c>
      <c r="I295">
        <v>1022</v>
      </c>
      <c r="J295">
        <v>26745.74</v>
      </c>
      <c r="K295" t="s">
        <v>24</v>
      </c>
    </row>
    <row r="296" spans="1:11" x14ac:dyDescent="0.35">
      <c r="A296" t="s">
        <v>334</v>
      </c>
      <c r="B296" t="s">
        <v>26</v>
      </c>
      <c r="C296" s="1">
        <v>44928</v>
      </c>
      <c r="D296" t="s">
        <v>34</v>
      </c>
      <c r="E296" t="s">
        <v>35</v>
      </c>
      <c r="F296" t="s">
        <v>36</v>
      </c>
      <c r="G296" t="s">
        <v>16</v>
      </c>
      <c r="H296">
        <v>64.540000000000006</v>
      </c>
      <c r="I296">
        <v>1160</v>
      </c>
      <c r="J296">
        <v>74866.399999999994</v>
      </c>
      <c r="K296" t="s">
        <v>31</v>
      </c>
    </row>
    <row r="297" spans="1:11" x14ac:dyDescent="0.35">
      <c r="A297" t="s">
        <v>335</v>
      </c>
      <c r="B297" t="s">
        <v>33</v>
      </c>
      <c r="C297" s="1">
        <v>44996</v>
      </c>
      <c r="D297" t="s">
        <v>13</v>
      </c>
      <c r="E297" t="s">
        <v>14</v>
      </c>
      <c r="F297" t="s">
        <v>15</v>
      </c>
      <c r="G297" t="s">
        <v>50</v>
      </c>
      <c r="H297">
        <v>37.64</v>
      </c>
      <c r="I297">
        <v>1182</v>
      </c>
      <c r="J297">
        <v>44490.48</v>
      </c>
      <c r="K297" t="s">
        <v>17</v>
      </c>
    </row>
    <row r="298" spans="1:11" x14ac:dyDescent="0.35">
      <c r="A298" t="s">
        <v>336</v>
      </c>
      <c r="B298" t="s">
        <v>39</v>
      </c>
      <c r="C298" s="1">
        <v>44964</v>
      </c>
      <c r="D298" t="s">
        <v>20</v>
      </c>
      <c r="E298" t="s">
        <v>21</v>
      </c>
      <c r="F298" t="s">
        <v>22</v>
      </c>
      <c r="G298" t="s">
        <v>30</v>
      </c>
      <c r="H298">
        <v>55.29</v>
      </c>
      <c r="I298">
        <v>837</v>
      </c>
      <c r="J298">
        <v>46277.73</v>
      </c>
      <c r="K298" t="s">
        <v>24</v>
      </c>
    </row>
    <row r="299" spans="1:11" x14ac:dyDescent="0.35">
      <c r="A299" t="s">
        <v>337</v>
      </c>
      <c r="B299" t="s">
        <v>12</v>
      </c>
      <c r="C299" s="1">
        <v>44927</v>
      </c>
      <c r="D299" t="s">
        <v>27</v>
      </c>
      <c r="E299" t="s">
        <v>28</v>
      </c>
      <c r="F299" t="s">
        <v>29</v>
      </c>
      <c r="G299" t="s">
        <v>23</v>
      </c>
      <c r="H299">
        <v>29.12</v>
      </c>
      <c r="I299">
        <v>1095</v>
      </c>
      <c r="J299">
        <v>31886.400000000001</v>
      </c>
      <c r="K299" t="s">
        <v>31</v>
      </c>
    </row>
    <row r="300" spans="1:11" x14ac:dyDescent="0.35">
      <c r="A300" t="s">
        <v>338</v>
      </c>
      <c r="B300" t="s">
        <v>19</v>
      </c>
      <c r="C300" s="1">
        <v>45005</v>
      </c>
      <c r="D300" t="s">
        <v>40</v>
      </c>
      <c r="E300" t="s">
        <v>41</v>
      </c>
      <c r="F300" t="s">
        <v>42</v>
      </c>
      <c r="G300" t="s">
        <v>30</v>
      </c>
      <c r="H300">
        <v>48.78</v>
      </c>
      <c r="I300">
        <v>769</v>
      </c>
      <c r="J300">
        <v>37511.82</v>
      </c>
      <c r="K300" t="s">
        <v>17</v>
      </c>
    </row>
    <row r="301" spans="1:11" x14ac:dyDescent="0.35">
      <c r="A301" t="s">
        <v>339</v>
      </c>
      <c r="B301" t="s">
        <v>26</v>
      </c>
      <c r="C301" s="1">
        <v>44973</v>
      </c>
      <c r="D301" t="s">
        <v>34</v>
      </c>
      <c r="E301" t="s">
        <v>48</v>
      </c>
      <c r="F301" t="s">
        <v>49</v>
      </c>
      <c r="G301" t="s">
        <v>37</v>
      </c>
      <c r="H301">
        <v>62.4</v>
      </c>
      <c r="I301">
        <v>1082</v>
      </c>
      <c r="J301">
        <v>67516.800000000003</v>
      </c>
      <c r="K301" t="s">
        <v>24</v>
      </c>
    </row>
    <row r="302" spans="1:11" x14ac:dyDescent="0.35">
      <c r="A302" t="s">
        <v>340</v>
      </c>
      <c r="B302" t="s">
        <v>33</v>
      </c>
      <c r="C302" s="1">
        <v>44929</v>
      </c>
      <c r="D302" t="s">
        <v>13</v>
      </c>
      <c r="E302" t="s">
        <v>14</v>
      </c>
      <c r="F302" t="s">
        <v>15</v>
      </c>
      <c r="G302" t="s">
        <v>16</v>
      </c>
      <c r="H302">
        <v>38.29</v>
      </c>
      <c r="I302">
        <v>1021</v>
      </c>
      <c r="J302">
        <v>39094.089999999997</v>
      </c>
      <c r="K302" t="s">
        <v>31</v>
      </c>
    </row>
    <row r="303" spans="1:11" x14ac:dyDescent="0.35">
      <c r="A303" t="s">
        <v>341</v>
      </c>
      <c r="B303" t="s">
        <v>39</v>
      </c>
      <c r="C303" s="1">
        <v>45000</v>
      </c>
      <c r="D303" t="s">
        <v>20</v>
      </c>
      <c r="E303" t="s">
        <v>21</v>
      </c>
      <c r="F303" t="s">
        <v>22</v>
      </c>
      <c r="G303" t="s">
        <v>44</v>
      </c>
      <c r="H303">
        <v>83.42</v>
      </c>
      <c r="I303">
        <v>1159</v>
      </c>
      <c r="J303">
        <v>96683.78</v>
      </c>
      <c r="K303" t="s">
        <v>17</v>
      </c>
    </row>
    <row r="304" spans="1:11" x14ac:dyDescent="0.35">
      <c r="A304" t="s">
        <v>342</v>
      </c>
      <c r="B304" t="s">
        <v>12</v>
      </c>
      <c r="C304" s="1">
        <v>44967</v>
      </c>
      <c r="D304" t="s">
        <v>27</v>
      </c>
      <c r="E304" t="s">
        <v>28</v>
      </c>
      <c r="F304" t="s">
        <v>29</v>
      </c>
      <c r="G304" t="s">
        <v>30</v>
      </c>
      <c r="H304">
        <v>42.56</v>
      </c>
      <c r="I304">
        <v>745</v>
      </c>
      <c r="J304">
        <v>31707.200000000001</v>
      </c>
      <c r="K304" t="s">
        <v>24</v>
      </c>
    </row>
    <row r="305" spans="1:11" x14ac:dyDescent="0.35">
      <c r="A305" t="s">
        <v>343</v>
      </c>
      <c r="B305" t="s">
        <v>19</v>
      </c>
      <c r="C305" s="1">
        <v>44947</v>
      </c>
      <c r="D305" t="s">
        <v>40</v>
      </c>
      <c r="E305" t="s">
        <v>41</v>
      </c>
      <c r="F305" t="s">
        <v>42</v>
      </c>
      <c r="G305" t="s">
        <v>37</v>
      </c>
      <c r="H305">
        <v>32.11</v>
      </c>
      <c r="I305">
        <v>1176</v>
      </c>
      <c r="J305">
        <v>37761.360000000001</v>
      </c>
      <c r="K305" t="s">
        <v>31</v>
      </c>
    </row>
    <row r="306" spans="1:11" x14ac:dyDescent="0.35">
      <c r="A306" t="s">
        <v>344</v>
      </c>
      <c r="B306" t="s">
        <v>26</v>
      </c>
      <c r="C306" s="1">
        <v>44988</v>
      </c>
      <c r="D306" t="s">
        <v>34</v>
      </c>
      <c r="E306" t="s">
        <v>35</v>
      </c>
      <c r="F306" t="s">
        <v>36</v>
      </c>
      <c r="G306" t="s">
        <v>16</v>
      </c>
      <c r="H306">
        <v>53.78</v>
      </c>
      <c r="I306">
        <v>819</v>
      </c>
      <c r="J306">
        <v>44045.82</v>
      </c>
      <c r="K306" t="s">
        <v>17</v>
      </c>
    </row>
    <row r="307" spans="1:11" x14ac:dyDescent="0.35">
      <c r="A307" t="s">
        <v>345</v>
      </c>
      <c r="B307" t="s">
        <v>33</v>
      </c>
      <c r="C307" s="1">
        <v>44980</v>
      </c>
      <c r="D307" t="s">
        <v>13</v>
      </c>
      <c r="E307" t="s">
        <v>14</v>
      </c>
      <c r="F307" t="s">
        <v>15</v>
      </c>
      <c r="G307" t="s">
        <v>50</v>
      </c>
      <c r="H307">
        <v>45.91</v>
      </c>
      <c r="I307">
        <v>1082</v>
      </c>
      <c r="J307">
        <v>49674.62</v>
      </c>
      <c r="K307" t="s">
        <v>24</v>
      </c>
    </row>
    <row r="308" spans="1:11" x14ac:dyDescent="0.35">
      <c r="A308" t="s">
        <v>346</v>
      </c>
      <c r="B308" t="s">
        <v>39</v>
      </c>
      <c r="C308" s="1">
        <v>44940</v>
      </c>
      <c r="D308" t="s">
        <v>20</v>
      </c>
      <c r="E308" t="s">
        <v>21</v>
      </c>
      <c r="F308" t="s">
        <v>22</v>
      </c>
      <c r="G308" t="s">
        <v>30</v>
      </c>
      <c r="H308">
        <v>64.290000000000006</v>
      </c>
      <c r="I308">
        <v>1005</v>
      </c>
      <c r="J308">
        <v>64611.45</v>
      </c>
      <c r="K308" t="s">
        <v>31</v>
      </c>
    </row>
    <row r="309" spans="1:11" x14ac:dyDescent="0.35">
      <c r="A309" t="s">
        <v>347</v>
      </c>
      <c r="B309" t="s">
        <v>12</v>
      </c>
      <c r="C309" s="1">
        <v>44992</v>
      </c>
      <c r="D309" t="s">
        <v>27</v>
      </c>
      <c r="E309" t="s">
        <v>28</v>
      </c>
      <c r="F309" t="s">
        <v>29</v>
      </c>
      <c r="G309" t="s">
        <v>23</v>
      </c>
      <c r="H309">
        <v>26.39</v>
      </c>
      <c r="I309">
        <v>1088</v>
      </c>
      <c r="J309">
        <v>28712.32</v>
      </c>
      <c r="K309" t="s">
        <v>17</v>
      </c>
    </row>
    <row r="310" spans="1:11" x14ac:dyDescent="0.35">
      <c r="A310" t="s">
        <v>348</v>
      </c>
      <c r="B310" t="s">
        <v>19</v>
      </c>
      <c r="C310" s="1">
        <v>44985</v>
      </c>
      <c r="D310" t="s">
        <v>40</v>
      </c>
      <c r="E310" t="s">
        <v>41</v>
      </c>
      <c r="F310" t="s">
        <v>42</v>
      </c>
      <c r="G310" t="s">
        <v>30</v>
      </c>
      <c r="H310">
        <v>57.42</v>
      </c>
      <c r="I310">
        <v>940</v>
      </c>
      <c r="J310">
        <v>53974.8</v>
      </c>
      <c r="K310" t="s">
        <v>24</v>
      </c>
    </row>
    <row r="311" spans="1:11" x14ac:dyDescent="0.35">
      <c r="A311" t="s">
        <v>349</v>
      </c>
      <c r="B311" t="s">
        <v>26</v>
      </c>
      <c r="C311" s="1">
        <v>44935</v>
      </c>
      <c r="D311" t="s">
        <v>34</v>
      </c>
      <c r="E311" t="s">
        <v>48</v>
      </c>
      <c r="F311" t="s">
        <v>49</v>
      </c>
      <c r="G311" t="s">
        <v>37</v>
      </c>
      <c r="H311">
        <v>37.25</v>
      </c>
      <c r="I311">
        <v>1178</v>
      </c>
      <c r="J311">
        <v>43880.5</v>
      </c>
      <c r="K311" t="s">
        <v>31</v>
      </c>
    </row>
    <row r="312" spans="1:11" x14ac:dyDescent="0.35">
      <c r="A312" t="s">
        <v>350</v>
      </c>
      <c r="B312" t="s">
        <v>33</v>
      </c>
      <c r="C312" s="1">
        <v>45009</v>
      </c>
      <c r="D312" t="s">
        <v>13</v>
      </c>
      <c r="E312" t="s">
        <v>14</v>
      </c>
      <c r="F312" t="s">
        <v>15</v>
      </c>
      <c r="G312" t="s">
        <v>16</v>
      </c>
      <c r="H312">
        <v>68.53</v>
      </c>
      <c r="I312">
        <v>747</v>
      </c>
      <c r="J312">
        <v>51191.91</v>
      </c>
      <c r="K312" t="s">
        <v>17</v>
      </c>
    </row>
    <row r="313" spans="1:11" x14ac:dyDescent="0.35">
      <c r="A313" t="s">
        <v>351</v>
      </c>
      <c r="B313" t="s">
        <v>39</v>
      </c>
      <c r="C313" s="1">
        <v>44972</v>
      </c>
      <c r="D313" t="s">
        <v>20</v>
      </c>
      <c r="E313" t="s">
        <v>21</v>
      </c>
      <c r="F313" t="s">
        <v>22</v>
      </c>
      <c r="G313" t="s">
        <v>44</v>
      </c>
      <c r="H313">
        <v>24.09</v>
      </c>
      <c r="I313">
        <v>828</v>
      </c>
      <c r="J313">
        <v>19946.52</v>
      </c>
      <c r="K313" t="s">
        <v>24</v>
      </c>
    </row>
    <row r="314" spans="1:11" x14ac:dyDescent="0.35">
      <c r="A314" t="s">
        <v>352</v>
      </c>
      <c r="B314" t="s">
        <v>12</v>
      </c>
      <c r="C314" s="1">
        <v>44927</v>
      </c>
      <c r="D314" t="s">
        <v>27</v>
      </c>
      <c r="E314" t="s">
        <v>28</v>
      </c>
      <c r="F314" t="s">
        <v>29</v>
      </c>
      <c r="G314" t="s">
        <v>30</v>
      </c>
      <c r="H314">
        <v>40.229999999999997</v>
      </c>
      <c r="I314">
        <v>976</v>
      </c>
      <c r="J314">
        <v>39264.480000000003</v>
      </c>
      <c r="K314" t="s">
        <v>31</v>
      </c>
    </row>
    <row r="315" spans="1:11" x14ac:dyDescent="0.35">
      <c r="A315" t="s">
        <v>353</v>
      </c>
      <c r="B315" t="s">
        <v>19</v>
      </c>
      <c r="C315" s="1">
        <v>45005</v>
      </c>
      <c r="D315" t="s">
        <v>40</v>
      </c>
      <c r="E315" t="s">
        <v>41</v>
      </c>
      <c r="F315" t="s">
        <v>42</v>
      </c>
      <c r="G315" t="s">
        <v>37</v>
      </c>
      <c r="H315">
        <v>62.16</v>
      </c>
      <c r="I315">
        <v>1053</v>
      </c>
      <c r="J315">
        <v>65454.48</v>
      </c>
      <c r="K315" t="s">
        <v>17</v>
      </c>
    </row>
    <row r="316" spans="1:11" x14ac:dyDescent="0.35">
      <c r="A316" t="s">
        <v>354</v>
      </c>
      <c r="B316" t="s">
        <v>26</v>
      </c>
      <c r="C316" s="1">
        <v>44969</v>
      </c>
      <c r="D316" t="s">
        <v>34</v>
      </c>
      <c r="E316" t="s">
        <v>35</v>
      </c>
      <c r="F316" t="s">
        <v>36</v>
      </c>
      <c r="G316" t="s">
        <v>16</v>
      </c>
      <c r="H316">
        <v>32.64</v>
      </c>
      <c r="I316">
        <v>993</v>
      </c>
      <c r="J316">
        <v>32411.52</v>
      </c>
      <c r="K316" t="s">
        <v>24</v>
      </c>
    </row>
    <row r="317" spans="1:11" x14ac:dyDescent="0.35">
      <c r="A317" t="s">
        <v>355</v>
      </c>
      <c r="B317" t="s">
        <v>33</v>
      </c>
      <c r="C317" s="1">
        <v>44945</v>
      </c>
      <c r="D317" t="s">
        <v>13</v>
      </c>
      <c r="E317" t="s">
        <v>14</v>
      </c>
      <c r="F317" t="s">
        <v>15</v>
      </c>
      <c r="G317" t="s">
        <v>50</v>
      </c>
      <c r="H317">
        <v>55.82</v>
      </c>
      <c r="I317">
        <v>783</v>
      </c>
      <c r="J317">
        <v>43707.06</v>
      </c>
      <c r="K317" t="s">
        <v>31</v>
      </c>
    </row>
    <row r="318" spans="1:11" x14ac:dyDescent="0.35">
      <c r="A318" t="s">
        <v>356</v>
      </c>
      <c r="B318" t="s">
        <v>39</v>
      </c>
      <c r="C318" s="1">
        <v>44997</v>
      </c>
      <c r="D318" t="s">
        <v>20</v>
      </c>
      <c r="E318" t="s">
        <v>21</v>
      </c>
      <c r="F318" t="s">
        <v>22</v>
      </c>
      <c r="G318" t="s">
        <v>30</v>
      </c>
      <c r="H318">
        <v>39.479999999999997</v>
      </c>
      <c r="I318">
        <v>1072</v>
      </c>
      <c r="J318">
        <v>42322.559999999998</v>
      </c>
      <c r="K318" t="s">
        <v>17</v>
      </c>
    </row>
    <row r="319" spans="1:11" x14ac:dyDescent="0.35">
      <c r="A319" t="s">
        <v>357</v>
      </c>
      <c r="B319" t="s">
        <v>12</v>
      </c>
      <c r="C319" s="1">
        <v>44962</v>
      </c>
      <c r="D319" t="s">
        <v>27</v>
      </c>
      <c r="E319" t="s">
        <v>28</v>
      </c>
      <c r="F319" t="s">
        <v>29</v>
      </c>
      <c r="G319" t="s">
        <v>23</v>
      </c>
      <c r="H319">
        <v>27.81</v>
      </c>
      <c r="I319">
        <v>943</v>
      </c>
      <c r="J319">
        <v>26224.83</v>
      </c>
      <c r="K319" t="s">
        <v>24</v>
      </c>
    </row>
    <row r="320" spans="1:11" x14ac:dyDescent="0.35">
      <c r="A320" t="s">
        <v>358</v>
      </c>
      <c r="B320" t="s">
        <v>19</v>
      </c>
      <c r="C320" s="1">
        <v>44929</v>
      </c>
      <c r="D320" t="s">
        <v>40</v>
      </c>
      <c r="E320" t="s">
        <v>41</v>
      </c>
      <c r="F320" t="s">
        <v>42</v>
      </c>
      <c r="G320" t="s">
        <v>30</v>
      </c>
      <c r="H320">
        <v>65.38</v>
      </c>
      <c r="I320">
        <v>902</v>
      </c>
      <c r="J320">
        <v>58972.76</v>
      </c>
      <c r="K320" t="s">
        <v>31</v>
      </c>
    </row>
    <row r="321" spans="1:11" x14ac:dyDescent="0.35">
      <c r="A321" t="s">
        <v>359</v>
      </c>
      <c r="B321" t="s">
        <v>26</v>
      </c>
      <c r="C321" s="1">
        <v>45008</v>
      </c>
      <c r="D321" t="s">
        <v>34</v>
      </c>
      <c r="E321" t="s">
        <v>48</v>
      </c>
      <c r="F321" t="s">
        <v>49</v>
      </c>
      <c r="G321" t="s">
        <v>37</v>
      </c>
      <c r="H321">
        <v>32.14</v>
      </c>
      <c r="I321">
        <v>1153</v>
      </c>
      <c r="J321">
        <v>37057.42</v>
      </c>
      <c r="K321" t="s">
        <v>17</v>
      </c>
    </row>
    <row r="322" spans="1:11" x14ac:dyDescent="0.35">
      <c r="A322" t="s">
        <v>360</v>
      </c>
      <c r="B322" t="s">
        <v>33</v>
      </c>
      <c r="C322" s="1">
        <v>44972</v>
      </c>
      <c r="D322" t="s">
        <v>13</v>
      </c>
      <c r="E322" t="s">
        <v>14</v>
      </c>
      <c r="F322" t="s">
        <v>15</v>
      </c>
      <c r="G322" t="s">
        <v>16</v>
      </c>
      <c r="H322">
        <v>74.62</v>
      </c>
      <c r="I322">
        <v>781</v>
      </c>
      <c r="J322">
        <v>58278.22</v>
      </c>
      <c r="K322" t="s">
        <v>24</v>
      </c>
    </row>
    <row r="323" spans="1:11" x14ac:dyDescent="0.35">
      <c r="A323" t="s">
        <v>361</v>
      </c>
      <c r="B323" t="s">
        <v>39</v>
      </c>
      <c r="C323" s="1">
        <v>44935</v>
      </c>
      <c r="D323" t="s">
        <v>20</v>
      </c>
      <c r="E323" t="s">
        <v>21</v>
      </c>
      <c r="F323" t="s">
        <v>22</v>
      </c>
      <c r="G323" t="s">
        <v>44</v>
      </c>
      <c r="H323">
        <v>45.09</v>
      </c>
      <c r="I323">
        <v>1015</v>
      </c>
      <c r="J323">
        <v>45766.35</v>
      </c>
      <c r="K323" t="s">
        <v>31</v>
      </c>
    </row>
    <row r="324" spans="1:11" x14ac:dyDescent="0.35">
      <c r="A324" t="s">
        <v>362</v>
      </c>
      <c r="B324" t="s">
        <v>12</v>
      </c>
      <c r="C324" s="1">
        <v>44990</v>
      </c>
      <c r="D324" t="s">
        <v>27</v>
      </c>
      <c r="E324" t="s">
        <v>28</v>
      </c>
      <c r="F324" t="s">
        <v>29</v>
      </c>
      <c r="G324" t="s">
        <v>30</v>
      </c>
      <c r="H324">
        <v>27.47</v>
      </c>
      <c r="I324">
        <v>989</v>
      </c>
      <c r="J324">
        <v>27167.83</v>
      </c>
      <c r="K324" t="s">
        <v>17</v>
      </c>
    </row>
    <row r="325" spans="1:11" x14ac:dyDescent="0.35">
      <c r="A325" t="s">
        <v>363</v>
      </c>
      <c r="B325" t="s">
        <v>19</v>
      </c>
      <c r="C325" s="1">
        <v>44984</v>
      </c>
      <c r="D325" t="s">
        <v>40</v>
      </c>
      <c r="E325" t="s">
        <v>41</v>
      </c>
      <c r="F325" t="s">
        <v>42</v>
      </c>
      <c r="G325" t="s">
        <v>37</v>
      </c>
      <c r="H325">
        <v>58.28</v>
      </c>
      <c r="I325">
        <v>927</v>
      </c>
      <c r="J325">
        <v>54025.56</v>
      </c>
      <c r="K325" t="s">
        <v>24</v>
      </c>
    </row>
    <row r="326" spans="1:11" x14ac:dyDescent="0.35">
      <c r="A326" t="s">
        <v>364</v>
      </c>
      <c r="B326" t="s">
        <v>26</v>
      </c>
      <c r="C326" s="1">
        <v>44944</v>
      </c>
      <c r="D326" t="s">
        <v>34</v>
      </c>
      <c r="E326" t="s">
        <v>35</v>
      </c>
      <c r="F326" t="s">
        <v>36</v>
      </c>
      <c r="G326" t="s">
        <v>16</v>
      </c>
      <c r="H326">
        <v>35.96</v>
      </c>
      <c r="I326">
        <v>1134</v>
      </c>
      <c r="J326">
        <v>40778.639999999999</v>
      </c>
      <c r="K326" t="s">
        <v>31</v>
      </c>
    </row>
    <row r="327" spans="1:11" x14ac:dyDescent="0.35">
      <c r="A327" t="s">
        <v>365</v>
      </c>
      <c r="B327" t="s">
        <v>33</v>
      </c>
      <c r="C327" s="1">
        <v>44998</v>
      </c>
      <c r="D327" t="s">
        <v>13</v>
      </c>
      <c r="E327" t="s">
        <v>14</v>
      </c>
      <c r="F327" t="s">
        <v>15</v>
      </c>
      <c r="G327" t="s">
        <v>50</v>
      </c>
      <c r="H327">
        <v>43.09</v>
      </c>
      <c r="I327">
        <v>1057</v>
      </c>
      <c r="J327">
        <v>45546.13</v>
      </c>
      <c r="K327" t="s">
        <v>17</v>
      </c>
    </row>
    <row r="328" spans="1:11" x14ac:dyDescent="0.35">
      <c r="A328" t="s">
        <v>366</v>
      </c>
      <c r="B328" t="s">
        <v>39</v>
      </c>
      <c r="C328" s="1">
        <v>44962</v>
      </c>
      <c r="D328" t="s">
        <v>20</v>
      </c>
      <c r="E328" t="s">
        <v>21</v>
      </c>
      <c r="F328" t="s">
        <v>22</v>
      </c>
      <c r="G328" t="s">
        <v>30</v>
      </c>
      <c r="H328">
        <v>60.93</v>
      </c>
      <c r="I328">
        <v>759</v>
      </c>
      <c r="J328">
        <v>46245.87</v>
      </c>
      <c r="K328" t="s">
        <v>24</v>
      </c>
    </row>
    <row r="329" spans="1:11" x14ac:dyDescent="0.35">
      <c r="A329" t="s">
        <v>367</v>
      </c>
      <c r="B329" t="s">
        <v>12</v>
      </c>
      <c r="C329" s="1">
        <v>44952</v>
      </c>
      <c r="D329" t="s">
        <v>27</v>
      </c>
      <c r="E329" t="s">
        <v>28</v>
      </c>
      <c r="F329" t="s">
        <v>29</v>
      </c>
      <c r="G329" t="s">
        <v>23</v>
      </c>
      <c r="H329">
        <v>22.37</v>
      </c>
      <c r="I329">
        <v>1172</v>
      </c>
      <c r="J329">
        <v>26217.64</v>
      </c>
      <c r="K329" t="s">
        <v>31</v>
      </c>
    </row>
    <row r="330" spans="1:11" x14ac:dyDescent="0.35">
      <c r="A330" t="s">
        <v>368</v>
      </c>
      <c r="B330" t="s">
        <v>19</v>
      </c>
      <c r="C330" s="1">
        <v>45002</v>
      </c>
      <c r="D330" t="s">
        <v>40</v>
      </c>
      <c r="E330" t="s">
        <v>41</v>
      </c>
      <c r="F330" t="s">
        <v>42</v>
      </c>
      <c r="G330" t="s">
        <v>30</v>
      </c>
      <c r="H330">
        <v>38.26</v>
      </c>
      <c r="I330">
        <v>1002</v>
      </c>
      <c r="J330">
        <v>38336.519999999997</v>
      </c>
      <c r="K330" t="s">
        <v>17</v>
      </c>
    </row>
    <row r="331" spans="1:11" x14ac:dyDescent="0.35">
      <c r="A331" t="s">
        <v>369</v>
      </c>
      <c r="B331" t="s">
        <v>26</v>
      </c>
      <c r="C331" s="1">
        <v>44966</v>
      </c>
      <c r="D331" t="s">
        <v>34</v>
      </c>
      <c r="E331" t="s">
        <v>48</v>
      </c>
      <c r="F331" t="s">
        <v>49</v>
      </c>
      <c r="G331" t="s">
        <v>37</v>
      </c>
      <c r="H331">
        <v>54.28</v>
      </c>
      <c r="I331">
        <v>872</v>
      </c>
      <c r="J331">
        <v>47332.160000000003</v>
      </c>
      <c r="K331" t="s">
        <v>24</v>
      </c>
    </row>
    <row r="332" spans="1:11" x14ac:dyDescent="0.35">
      <c r="A332" t="s">
        <v>370</v>
      </c>
      <c r="B332" t="s">
        <v>33</v>
      </c>
      <c r="C332" s="1">
        <v>44928</v>
      </c>
      <c r="D332" t="s">
        <v>13</v>
      </c>
      <c r="E332" t="s">
        <v>14</v>
      </c>
      <c r="F332" t="s">
        <v>15</v>
      </c>
      <c r="G332" t="s">
        <v>16</v>
      </c>
      <c r="H332">
        <v>62.41</v>
      </c>
      <c r="I332">
        <v>918</v>
      </c>
      <c r="J332">
        <v>57292.38</v>
      </c>
      <c r="K332" t="s">
        <v>31</v>
      </c>
    </row>
    <row r="333" spans="1:11" x14ac:dyDescent="0.35">
      <c r="A333" t="s">
        <v>371</v>
      </c>
      <c r="B333" t="s">
        <v>39</v>
      </c>
      <c r="C333" s="1">
        <v>45007</v>
      </c>
      <c r="D333" t="s">
        <v>20</v>
      </c>
      <c r="E333" t="s">
        <v>21</v>
      </c>
      <c r="F333" t="s">
        <v>22</v>
      </c>
      <c r="G333" t="s">
        <v>44</v>
      </c>
      <c r="H333">
        <v>29.05</v>
      </c>
      <c r="I333">
        <v>1126</v>
      </c>
      <c r="J333">
        <v>32710.3</v>
      </c>
      <c r="K333" t="s">
        <v>17</v>
      </c>
    </row>
    <row r="334" spans="1:11" x14ac:dyDescent="0.35">
      <c r="A334" t="s">
        <v>372</v>
      </c>
      <c r="B334" t="s">
        <v>12</v>
      </c>
      <c r="C334" s="1">
        <v>44971</v>
      </c>
      <c r="D334" t="s">
        <v>27</v>
      </c>
      <c r="E334" t="s">
        <v>28</v>
      </c>
      <c r="F334" t="s">
        <v>29</v>
      </c>
      <c r="G334" t="s">
        <v>30</v>
      </c>
      <c r="H334">
        <v>48.64</v>
      </c>
      <c r="I334">
        <v>1068</v>
      </c>
      <c r="J334">
        <v>51947.519999999997</v>
      </c>
      <c r="K334" t="s">
        <v>24</v>
      </c>
    </row>
    <row r="335" spans="1:11" x14ac:dyDescent="0.35">
      <c r="A335" t="s">
        <v>373</v>
      </c>
      <c r="B335" t="s">
        <v>19</v>
      </c>
      <c r="C335" s="1">
        <v>44928</v>
      </c>
      <c r="D335" t="s">
        <v>40</v>
      </c>
      <c r="E335" t="s">
        <v>41</v>
      </c>
      <c r="F335" t="s">
        <v>42</v>
      </c>
      <c r="G335" t="s">
        <v>37</v>
      </c>
      <c r="H335">
        <v>67.92</v>
      </c>
      <c r="I335">
        <v>822</v>
      </c>
      <c r="J335">
        <v>55830.239999999998</v>
      </c>
      <c r="K335" t="s">
        <v>31</v>
      </c>
    </row>
    <row r="336" spans="1:11" x14ac:dyDescent="0.35">
      <c r="A336" t="s">
        <v>374</v>
      </c>
      <c r="B336" t="s">
        <v>26</v>
      </c>
      <c r="C336" s="1">
        <v>44998</v>
      </c>
      <c r="D336" t="s">
        <v>34</v>
      </c>
      <c r="E336" t="s">
        <v>35</v>
      </c>
      <c r="F336" t="s">
        <v>36</v>
      </c>
      <c r="G336" t="s">
        <v>16</v>
      </c>
      <c r="H336">
        <v>41.58</v>
      </c>
      <c r="I336">
        <v>1091</v>
      </c>
      <c r="J336">
        <v>45363.78</v>
      </c>
      <c r="K336" t="s">
        <v>17</v>
      </c>
    </row>
    <row r="337" spans="1:11" x14ac:dyDescent="0.35">
      <c r="A337" t="s">
        <v>375</v>
      </c>
      <c r="B337" t="s">
        <v>33</v>
      </c>
      <c r="C337" s="1">
        <v>44983</v>
      </c>
      <c r="D337" t="s">
        <v>13</v>
      </c>
      <c r="E337" t="s">
        <v>14</v>
      </c>
      <c r="F337" t="s">
        <v>15</v>
      </c>
      <c r="G337" t="s">
        <v>50</v>
      </c>
      <c r="H337">
        <v>23.64</v>
      </c>
      <c r="I337">
        <v>1123</v>
      </c>
      <c r="J337">
        <v>26547.72</v>
      </c>
      <c r="K337" t="s">
        <v>24</v>
      </c>
    </row>
    <row r="338" spans="1:11" x14ac:dyDescent="0.35">
      <c r="A338" t="s">
        <v>376</v>
      </c>
      <c r="B338" t="s">
        <v>39</v>
      </c>
      <c r="C338" s="1">
        <v>44950</v>
      </c>
      <c r="D338" t="s">
        <v>20</v>
      </c>
      <c r="E338" t="s">
        <v>21</v>
      </c>
      <c r="F338" t="s">
        <v>22</v>
      </c>
      <c r="G338" t="s">
        <v>30</v>
      </c>
      <c r="H338">
        <v>44.39</v>
      </c>
      <c r="I338">
        <v>904</v>
      </c>
      <c r="J338">
        <v>40128.559999999998</v>
      </c>
      <c r="K338" t="s">
        <v>31</v>
      </c>
    </row>
    <row r="339" spans="1:11" x14ac:dyDescent="0.35">
      <c r="A339" t="s">
        <v>377</v>
      </c>
      <c r="B339" t="s">
        <v>12</v>
      </c>
      <c r="C339" s="1">
        <v>45004</v>
      </c>
      <c r="D339" t="s">
        <v>27</v>
      </c>
      <c r="E339" t="s">
        <v>28</v>
      </c>
      <c r="F339" t="s">
        <v>29</v>
      </c>
      <c r="G339" t="s">
        <v>23</v>
      </c>
      <c r="H339">
        <v>75.459999999999994</v>
      </c>
      <c r="I339">
        <v>726</v>
      </c>
      <c r="J339">
        <v>54783.96</v>
      </c>
      <c r="K339" t="s">
        <v>17</v>
      </c>
    </row>
    <row r="340" spans="1:11" x14ac:dyDescent="0.35">
      <c r="A340" t="s">
        <v>378</v>
      </c>
      <c r="B340" t="s">
        <v>19</v>
      </c>
      <c r="C340" s="1">
        <v>44964</v>
      </c>
      <c r="D340" t="s">
        <v>40</v>
      </c>
      <c r="E340" t="s">
        <v>41</v>
      </c>
      <c r="F340" t="s">
        <v>42</v>
      </c>
      <c r="G340" t="s">
        <v>30</v>
      </c>
      <c r="H340">
        <v>35.229999999999997</v>
      </c>
      <c r="I340">
        <v>1098</v>
      </c>
      <c r="J340">
        <v>38682.54</v>
      </c>
      <c r="K340" t="s">
        <v>24</v>
      </c>
    </row>
    <row r="341" spans="1:11" x14ac:dyDescent="0.35">
      <c r="A341" t="s">
        <v>379</v>
      </c>
      <c r="B341" t="s">
        <v>26</v>
      </c>
      <c r="C341" s="1">
        <v>44957</v>
      </c>
      <c r="D341" t="s">
        <v>34</v>
      </c>
      <c r="E341" t="s">
        <v>48</v>
      </c>
      <c r="F341" t="s">
        <v>49</v>
      </c>
      <c r="G341" t="s">
        <v>37</v>
      </c>
      <c r="H341">
        <v>60.12</v>
      </c>
      <c r="I341">
        <v>844</v>
      </c>
      <c r="J341">
        <v>50741.279999999999</v>
      </c>
      <c r="K341" t="s">
        <v>31</v>
      </c>
    </row>
    <row r="342" spans="1:11" x14ac:dyDescent="0.35">
      <c r="A342" t="s">
        <v>380</v>
      </c>
      <c r="B342" t="s">
        <v>33</v>
      </c>
      <c r="C342" s="1">
        <v>45001</v>
      </c>
      <c r="D342" t="s">
        <v>13</v>
      </c>
      <c r="E342" t="s">
        <v>14</v>
      </c>
      <c r="F342" t="s">
        <v>15</v>
      </c>
      <c r="G342" t="s">
        <v>16</v>
      </c>
      <c r="H342">
        <v>34.92</v>
      </c>
      <c r="I342">
        <v>965</v>
      </c>
      <c r="J342">
        <v>33697.800000000003</v>
      </c>
      <c r="K342" t="s">
        <v>17</v>
      </c>
    </row>
    <row r="343" spans="1:11" x14ac:dyDescent="0.35">
      <c r="A343" t="s">
        <v>381</v>
      </c>
      <c r="B343" t="s">
        <v>39</v>
      </c>
      <c r="C343" s="1">
        <v>44974</v>
      </c>
      <c r="D343" t="s">
        <v>20</v>
      </c>
      <c r="E343" t="s">
        <v>21</v>
      </c>
      <c r="F343" t="s">
        <v>22</v>
      </c>
      <c r="G343" t="s">
        <v>44</v>
      </c>
      <c r="H343">
        <v>49.38</v>
      </c>
      <c r="I343">
        <v>1023</v>
      </c>
      <c r="J343">
        <v>50515.74</v>
      </c>
      <c r="K343" t="s">
        <v>24</v>
      </c>
    </row>
    <row r="344" spans="1:11" x14ac:dyDescent="0.35">
      <c r="A344" t="s">
        <v>382</v>
      </c>
      <c r="B344" t="s">
        <v>12</v>
      </c>
      <c r="C344" s="1">
        <v>44939</v>
      </c>
      <c r="D344" t="s">
        <v>27</v>
      </c>
      <c r="E344" t="s">
        <v>28</v>
      </c>
      <c r="F344" t="s">
        <v>29</v>
      </c>
      <c r="G344" t="s">
        <v>30</v>
      </c>
      <c r="H344">
        <v>29.44</v>
      </c>
      <c r="I344">
        <v>1170</v>
      </c>
      <c r="J344">
        <v>34444.800000000003</v>
      </c>
      <c r="K344" t="s">
        <v>31</v>
      </c>
    </row>
    <row r="345" spans="1:11" x14ac:dyDescent="0.35">
      <c r="A345" t="s">
        <v>383</v>
      </c>
      <c r="B345" t="s">
        <v>19</v>
      </c>
      <c r="C345" s="1">
        <v>44995</v>
      </c>
      <c r="D345" t="s">
        <v>40</v>
      </c>
      <c r="E345" t="s">
        <v>41</v>
      </c>
      <c r="F345" t="s">
        <v>42</v>
      </c>
      <c r="G345" t="s">
        <v>37</v>
      </c>
      <c r="H345">
        <v>57.13</v>
      </c>
      <c r="I345">
        <v>1081</v>
      </c>
      <c r="J345">
        <v>61757.53</v>
      </c>
      <c r="K345" t="s">
        <v>17</v>
      </c>
    </row>
    <row r="346" spans="1:11" x14ac:dyDescent="0.35">
      <c r="A346" t="s">
        <v>384</v>
      </c>
      <c r="B346" t="s">
        <v>26</v>
      </c>
      <c r="C346" s="1">
        <v>44960</v>
      </c>
      <c r="D346" t="s">
        <v>34</v>
      </c>
      <c r="E346" t="s">
        <v>35</v>
      </c>
      <c r="F346" t="s">
        <v>36</v>
      </c>
      <c r="G346" t="s">
        <v>16</v>
      </c>
      <c r="H346">
        <v>42.96</v>
      </c>
      <c r="I346">
        <v>948</v>
      </c>
      <c r="J346">
        <v>40726.080000000002</v>
      </c>
      <c r="K346" t="s">
        <v>24</v>
      </c>
    </row>
    <row r="347" spans="1:11" x14ac:dyDescent="0.35">
      <c r="A347" t="s">
        <v>385</v>
      </c>
      <c r="B347" t="s">
        <v>33</v>
      </c>
      <c r="C347" s="1">
        <v>44951</v>
      </c>
      <c r="D347" t="s">
        <v>13</v>
      </c>
      <c r="E347" t="s">
        <v>14</v>
      </c>
      <c r="F347" t="s">
        <v>15</v>
      </c>
      <c r="G347" t="s">
        <v>50</v>
      </c>
      <c r="H347">
        <v>29.68</v>
      </c>
      <c r="I347">
        <v>968</v>
      </c>
      <c r="J347">
        <v>28730.240000000002</v>
      </c>
      <c r="K347" t="s">
        <v>31</v>
      </c>
    </row>
    <row r="348" spans="1:11" x14ac:dyDescent="0.35">
      <c r="A348" t="s">
        <v>386</v>
      </c>
      <c r="B348" t="s">
        <v>39</v>
      </c>
      <c r="C348" s="1">
        <v>44999</v>
      </c>
      <c r="D348" t="s">
        <v>20</v>
      </c>
      <c r="E348" t="s">
        <v>21</v>
      </c>
      <c r="F348" t="s">
        <v>22</v>
      </c>
      <c r="G348" t="s">
        <v>30</v>
      </c>
      <c r="H348">
        <v>69.430000000000007</v>
      </c>
      <c r="I348">
        <v>803</v>
      </c>
      <c r="J348">
        <v>55752.29</v>
      </c>
      <c r="K348" t="s">
        <v>17</v>
      </c>
    </row>
    <row r="349" spans="1:11" x14ac:dyDescent="0.35">
      <c r="A349" t="s">
        <v>387</v>
      </c>
      <c r="B349" t="s">
        <v>12</v>
      </c>
      <c r="C349" s="1">
        <v>44964</v>
      </c>
      <c r="D349" t="s">
        <v>27</v>
      </c>
      <c r="E349" t="s">
        <v>28</v>
      </c>
      <c r="F349" t="s">
        <v>29</v>
      </c>
      <c r="G349" t="s">
        <v>23</v>
      </c>
      <c r="H349">
        <v>43.82</v>
      </c>
      <c r="I349">
        <v>1085</v>
      </c>
      <c r="J349">
        <v>47544.7</v>
      </c>
      <c r="K349" t="s">
        <v>24</v>
      </c>
    </row>
    <row r="350" spans="1:11" x14ac:dyDescent="0.35">
      <c r="A350" t="s">
        <v>388</v>
      </c>
      <c r="B350" t="s">
        <v>19</v>
      </c>
      <c r="C350" s="1">
        <v>44927</v>
      </c>
      <c r="D350" t="s">
        <v>40</v>
      </c>
      <c r="E350" t="s">
        <v>41</v>
      </c>
      <c r="F350" t="s">
        <v>42</v>
      </c>
      <c r="G350" t="s">
        <v>30</v>
      </c>
      <c r="H350">
        <v>30.76</v>
      </c>
      <c r="I350">
        <v>954</v>
      </c>
      <c r="J350">
        <v>29345.040000000001</v>
      </c>
      <c r="K350" t="s">
        <v>31</v>
      </c>
    </row>
    <row r="351" spans="1:11" x14ac:dyDescent="0.35">
      <c r="A351" t="s">
        <v>389</v>
      </c>
      <c r="B351" t="s">
        <v>26</v>
      </c>
      <c r="C351" s="1">
        <v>44990</v>
      </c>
      <c r="D351" t="s">
        <v>34</v>
      </c>
      <c r="E351" t="s">
        <v>48</v>
      </c>
      <c r="F351" t="s">
        <v>49</v>
      </c>
      <c r="G351" t="s">
        <v>37</v>
      </c>
      <c r="H351">
        <v>53.29</v>
      </c>
      <c r="I351">
        <v>1112</v>
      </c>
      <c r="J351">
        <v>59258.48</v>
      </c>
      <c r="K351" t="s">
        <v>17</v>
      </c>
    </row>
    <row r="352" spans="1:11" x14ac:dyDescent="0.35">
      <c r="A352" t="s">
        <v>390</v>
      </c>
      <c r="B352" t="s">
        <v>33</v>
      </c>
      <c r="C352" s="1">
        <v>44981</v>
      </c>
      <c r="D352" t="s">
        <v>13</v>
      </c>
      <c r="E352" t="s">
        <v>14</v>
      </c>
      <c r="F352" t="s">
        <v>15</v>
      </c>
      <c r="G352" t="s">
        <v>16</v>
      </c>
      <c r="H352">
        <v>63.74</v>
      </c>
      <c r="I352">
        <v>825</v>
      </c>
      <c r="J352">
        <v>52585.5</v>
      </c>
      <c r="K352" t="s">
        <v>24</v>
      </c>
    </row>
    <row r="353" spans="1:11" x14ac:dyDescent="0.35">
      <c r="A353" t="s">
        <v>391</v>
      </c>
      <c r="B353" t="s">
        <v>39</v>
      </c>
      <c r="C353" s="1">
        <v>44945</v>
      </c>
      <c r="D353" t="s">
        <v>20</v>
      </c>
      <c r="E353" t="s">
        <v>21</v>
      </c>
      <c r="F353" t="s">
        <v>22</v>
      </c>
      <c r="G353" t="s">
        <v>44</v>
      </c>
      <c r="H353">
        <v>37.81</v>
      </c>
      <c r="I353">
        <v>975</v>
      </c>
      <c r="J353">
        <v>36864.75</v>
      </c>
      <c r="K353" t="s">
        <v>31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C8334-1879-4F89-A3EE-ACC759EF3023}">
  <sheetPr>
    <tabColor theme="9" tint="0.39997558519241921"/>
  </sheetPr>
  <dimension ref="A3:E8"/>
  <sheetViews>
    <sheetView workbookViewId="0">
      <selection activeCell="E8" sqref="E8"/>
    </sheetView>
  </sheetViews>
  <sheetFormatPr defaultRowHeight="14.5" x14ac:dyDescent="0.35"/>
  <cols>
    <col min="1" max="1" width="14.36328125" bestFit="1" customWidth="1"/>
    <col min="2" max="2" width="17.1796875" bestFit="1" customWidth="1"/>
    <col min="3" max="3" width="15.6328125" bestFit="1" customWidth="1"/>
    <col min="4" max="4" width="14.90625" bestFit="1" customWidth="1"/>
    <col min="5" max="5" width="17.1796875" bestFit="1" customWidth="1"/>
  </cols>
  <sheetData>
    <row r="3" spans="1:5" x14ac:dyDescent="0.35">
      <c r="A3" t="s">
        <v>392</v>
      </c>
      <c r="B3" t="s">
        <v>416</v>
      </c>
      <c r="C3" t="s">
        <v>417</v>
      </c>
      <c r="D3" t="s">
        <v>419</v>
      </c>
      <c r="E3" t="s">
        <v>418</v>
      </c>
    </row>
    <row r="4" spans="1:5" x14ac:dyDescent="0.35">
      <c r="A4">
        <v>14477336.130000001</v>
      </c>
      <c r="B4">
        <v>41363.817514285714</v>
      </c>
      <c r="C4">
        <v>286883</v>
      </c>
      <c r="D4" s="4">
        <v>0.79375407163750877</v>
      </c>
      <c r="E4">
        <v>350</v>
      </c>
    </row>
    <row r="8" spans="1:5" x14ac:dyDescent="0.35">
      <c r="A8" s="8">
        <f>GETPIVOTDATA("[Measures].[Sum of Revenue]",$A$3)</f>
        <v>14477336.130000001</v>
      </c>
      <c r="B8" s="8">
        <f>GETPIVOTDATA("[Measures].[Average of Revenue]",$A$3)</f>
        <v>41363.817514285714</v>
      </c>
      <c r="C8" s="7">
        <f>GETPIVOTDATA("[Measures].[Sum of Units Sold]",$A$3)</f>
        <v>286883</v>
      </c>
      <c r="D8" s="5">
        <f>GETPIVOTDATA("[Measures].[YOY Growth Rate]",$A$3)</f>
        <v>0.79375407163750877</v>
      </c>
      <c r="E8">
        <f>GETPIVOTDATA("[Measures].[Count of Retailer ID]",$A$3)</f>
        <v>350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82F26-BCB7-4B0F-B691-1C093D169DC7}">
  <sheetPr>
    <tabColor rgb="FFFF0000"/>
  </sheetPr>
  <dimension ref="A1:K351"/>
  <sheetViews>
    <sheetView workbookViewId="0">
      <selection activeCell="B3" sqref="B3"/>
    </sheetView>
  </sheetViews>
  <sheetFormatPr defaultRowHeight="14.5" x14ac:dyDescent="0.35"/>
  <cols>
    <col min="1" max="1" width="11.81640625" bestFit="1" customWidth="1"/>
    <col min="2" max="2" width="19.6328125" bestFit="1" customWidth="1"/>
    <col min="3" max="3" width="13.453125" bestFit="1" customWidth="1"/>
    <col min="4" max="4" width="8.81640625" bestFit="1" customWidth="1"/>
    <col min="5" max="5" width="7.453125" bestFit="1" customWidth="1"/>
    <col min="6" max="6" width="9.26953125" bestFit="1" customWidth="1"/>
    <col min="7" max="7" width="18.54296875" bestFit="1" customWidth="1"/>
    <col min="8" max="8" width="14.36328125" bestFit="1" customWidth="1"/>
    <col min="9" max="9" width="11.6328125" bestFit="1" customWidth="1"/>
    <col min="10" max="10" width="10.36328125" bestFit="1" customWidth="1"/>
    <col min="11" max="11" width="14.26953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s="1">
        <v>44793</v>
      </c>
      <c r="D2" t="s">
        <v>13</v>
      </c>
      <c r="E2" t="s">
        <v>14</v>
      </c>
      <c r="F2" t="s">
        <v>15</v>
      </c>
      <c r="G2" t="s">
        <v>16</v>
      </c>
      <c r="H2">
        <v>29.39</v>
      </c>
      <c r="I2">
        <v>363</v>
      </c>
      <c r="J2">
        <v>10668.57</v>
      </c>
      <c r="K2" t="s">
        <v>17</v>
      </c>
    </row>
    <row r="3" spans="1:11" x14ac:dyDescent="0.35">
      <c r="A3" t="s">
        <v>18</v>
      </c>
      <c r="B3" t="s">
        <v>19</v>
      </c>
      <c r="C3" s="1">
        <v>44595</v>
      </c>
      <c r="D3" t="s">
        <v>20</v>
      </c>
      <c r="E3" t="s">
        <v>21</v>
      </c>
      <c r="F3" t="s">
        <v>22</v>
      </c>
      <c r="G3" t="s">
        <v>23</v>
      </c>
      <c r="H3">
        <v>59.94</v>
      </c>
      <c r="I3">
        <v>819</v>
      </c>
      <c r="J3">
        <v>49090.86</v>
      </c>
      <c r="K3" t="s">
        <v>24</v>
      </c>
    </row>
    <row r="4" spans="1:11" x14ac:dyDescent="0.35">
      <c r="A4" t="s">
        <v>25</v>
      </c>
      <c r="B4" t="s">
        <v>26</v>
      </c>
      <c r="C4" s="1">
        <v>44849</v>
      </c>
      <c r="D4" t="s">
        <v>27</v>
      </c>
      <c r="E4" t="s">
        <v>28</v>
      </c>
      <c r="F4" t="s">
        <v>29</v>
      </c>
      <c r="G4" t="s">
        <v>30</v>
      </c>
      <c r="H4">
        <v>37.78</v>
      </c>
      <c r="I4">
        <v>72</v>
      </c>
      <c r="J4">
        <v>2720.16</v>
      </c>
      <c r="K4" t="s">
        <v>31</v>
      </c>
    </row>
    <row r="5" spans="1:11" x14ac:dyDescent="0.35">
      <c r="A5" t="s">
        <v>32</v>
      </c>
      <c r="B5" t="s">
        <v>33</v>
      </c>
      <c r="C5" s="1">
        <v>44586</v>
      </c>
      <c r="D5" t="s">
        <v>34</v>
      </c>
      <c r="E5" t="s">
        <v>35</v>
      </c>
      <c r="F5" t="s">
        <v>36</v>
      </c>
      <c r="G5" t="s">
        <v>37</v>
      </c>
      <c r="H5">
        <v>75.239999999999995</v>
      </c>
      <c r="I5">
        <v>449</v>
      </c>
      <c r="J5">
        <v>33782.76</v>
      </c>
      <c r="K5" t="s">
        <v>17</v>
      </c>
    </row>
    <row r="6" spans="1:11" x14ac:dyDescent="0.35">
      <c r="A6" t="s">
        <v>38</v>
      </c>
      <c r="B6" t="s">
        <v>39</v>
      </c>
      <c r="C6" s="1">
        <v>44931</v>
      </c>
      <c r="D6" t="s">
        <v>40</v>
      </c>
      <c r="E6" t="s">
        <v>41</v>
      </c>
      <c r="F6" t="s">
        <v>42</v>
      </c>
      <c r="G6" t="s">
        <v>23</v>
      </c>
      <c r="H6">
        <v>34.130000000000003</v>
      </c>
      <c r="I6">
        <v>54</v>
      </c>
      <c r="J6">
        <v>1843.02</v>
      </c>
      <c r="K6" t="s">
        <v>24</v>
      </c>
    </row>
    <row r="7" spans="1:11" x14ac:dyDescent="0.35">
      <c r="A7" t="s">
        <v>43</v>
      </c>
      <c r="B7" t="s">
        <v>19</v>
      </c>
      <c r="C7" s="1">
        <v>44816</v>
      </c>
      <c r="D7" t="s">
        <v>13</v>
      </c>
      <c r="E7" t="s">
        <v>14</v>
      </c>
      <c r="F7" t="s">
        <v>15</v>
      </c>
      <c r="G7" t="s">
        <v>44</v>
      </c>
      <c r="H7">
        <v>76.36</v>
      </c>
      <c r="I7">
        <v>764</v>
      </c>
      <c r="J7">
        <v>58339.040000000001</v>
      </c>
      <c r="K7" t="s">
        <v>31</v>
      </c>
    </row>
    <row r="8" spans="1:11" x14ac:dyDescent="0.35">
      <c r="A8" t="s">
        <v>45</v>
      </c>
      <c r="B8" t="s">
        <v>12</v>
      </c>
      <c r="C8" s="1">
        <v>44649</v>
      </c>
      <c r="D8" t="s">
        <v>20</v>
      </c>
      <c r="E8" t="s">
        <v>21</v>
      </c>
      <c r="F8" t="s">
        <v>22</v>
      </c>
      <c r="G8" t="s">
        <v>30</v>
      </c>
      <c r="H8">
        <v>23.59</v>
      </c>
      <c r="I8">
        <v>871</v>
      </c>
      <c r="J8">
        <v>20546.89</v>
      </c>
      <c r="K8" t="s">
        <v>17</v>
      </c>
    </row>
    <row r="9" spans="1:11" x14ac:dyDescent="0.35">
      <c r="A9" t="s">
        <v>46</v>
      </c>
      <c r="B9" t="s">
        <v>39</v>
      </c>
      <c r="C9" s="1">
        <v>44743</v>
      </c>
      <c r="D9" t="s">
        <v>27</v>
      </c>
      <c r="E9" t="s">
        <v>28</v>
      </c>
      <c r="F9" t="s">
        <v>29</v>
      </c>
      <c r="G9" t="s">
        <v>37</v>
      </c>
      <c r="H9">
        <v>46.88</v>
      </c>
      <c r="I9">
        <v>60</v>
      </c>
      <c r="J9">
        <v>2812.8</v>
      </c>
      <c r="K9" t="s">
        <v>24</v>
      </c>
    </row>
    <row r="10" spans="1:11" x14ac:dyDescent="0.35">
      <c r="A10" t="s">
        <v>47</v>
      </c>
      <c r="B10" t="s">
        <v>26</v>
      </c>
      <c r="C10" s="1">
        <v>44903</v>
      </c>
      <c r="D10" t="s">
        <v>34</v>
      </c>
      <c r="E10" t="s">
        <v>48</v>
      </c>
      <c r="F10" t="s">
        <v>49</v>
      </c>
      <c r="G10" t="s">
        <v>50</v>
      </c>
      <c r="H10">
        <v>67.64</v>
      </c>
      <c r="I10">
        <v>1156</v>
      </c>
      <c r="J10">
        <v>78191.839999999997</v>
      </c>
      <c r="K10" t="s">
        <v>31</v>
      </c>
    </row>
    <row r="11" spans="1:11" x14ac:dyDescent="0.35">
      <c r="A11" t="s">
        <v>51</v>
      </c>
      <c r="B11" t="s">
        <v>33</v>
      </c>
      <c r="C11" s="1">
        <v>44665</v>
      </c>
      <c r="D11" t="s">
        <v>13</v>
      </c>
      <c r="E11" t="s">
        <v>14</v>
      </c>
      <c r="F11" t="s">
        <v>15</v>
      </c>
      <c r="G11" t="s">
        <v>16</v>
      </c>
      <c r="H11">
        <v>60.09</v>
      </c>
      <c r="I11">
        <v>726</v>
      </c>
      <c r="J11">
        <v>43625.34</v>
      </c>
      <c r="K11" t="s">
        <v>17</v>
      </c>
    </row>
    <row r="12" spans="1:11" x14ac:dyDescent="0.35">
      <c r="A12" t="s">
        <v>52</v>
      </c>
      <c r="B12" t="s">
        <v>12</v>
      </c>
      <c r="C12" s="1">
        <v>44852</v>
      </c>
      <c r="D12" t="s">
        <v>40</v>
      </c>
      <c r="E12" t="s">
        <v>41</v>
      </c>
      <c r="F12" t="s">
        <v>42</v>
      </c>
      <c r="G12" t="s">
        <v>44</v>
      </c>
      <c r="H12">
        <v>83.22</v>
      </c>
      <c r="I12">
        <v>641</v>
      </c>
      <c r="J12">
        <v>53344.02</v>
      </c>
      <c r="K12" t="s">
        <v>17</v>
      </c>
    </row>
    <row r="13" spans="1:11" x14ac:dyDescent="0.35">
      <c r="A13" t="s">
        <v>53</v>
      </c>
      <c r="B13" t="s">
        <v>19</v>
      </c>
      <c r="C13" s="1">
        <v>44683</v>
      </c>
      <c r="D13" t="s">
        <v>34</v>
      </c>
      <c r="E13" t="s">
        <v>35</v>
      </c>
      <c r="F13" t="s">
        <v>36</v>
      </c>
      <c r="G13" t="s">
        <v>37</v>
      </c>
      <c r="H13">
        <v>19.170000000000002</v>
      </c>
      <c r="I13">
        <v>923</v>
      </c>
      <c r="J13">
        <v>17693.91</v>
      </c>
      <c r="K13" t="s">
        <v>31</v>
      </c>
    </row>
    <row r="14" spans="1:11" x14ac:dyDescent="0.35">
      <c r="A14" t="s">
        <v>54</v>
      </c>
      <c r="B14" t="s">
        <v>26</v>
      </c>
      <c r="C14" s="1">
        <v>44770</v>
      </c>
      <c r="D14" t="s">
        <v>13</v>
      </c>
      <c r="E14" t="s">
        <v>14</v>
      </c>
      <c r="F14" t="s">
        <v>15</v>
      </c>
      <c r="G14" t="s">
        <v>16</v>
      </c>
      <c r="H14">
        <v>88.39</v>
      </c>
      <c r="I14">
        <v>1131</v>
      </c>
      <c r="J14">
        <v>99969.09</v>
      </c>
      <c r="K14" t="s">
        <v>24</v>
      </c>
    </row>
    <row r="15" spans="1:11" x14ac:dyDescent="0.35">
      <c r="A15" t="s">
        <v>55</v>
      </c>
      <c r="B15" t="s">
        <v>33</v>
      </c>
      <c r="C15" s="1">
        <v>44633</v>
      </c>
      <c r="D15" t="s">
        <v>20</v>
      </c>
      <c r="E15" t="s">
        <v>21</v>
      </c>
      <c r="F15" t="s">
        <v>22</v>
      </c>
      <c r="G15" t="s">
        <v>44</v>
      </c>
      <c r="H15">
        <v>35.17</v>
      </c>
      <c r="I15">
        <v>254</v>
      </c>
      <c r="J15">
        <v>8933.18</v>
      </c>
      <c r="K15" t="s">
        <v>17</v>
      </c>
    </row>
    <row r="16" spans="1:11" x14ac:dyDescent="0.35">
      <c r="A16" t="s">
        <v>56</v>
      </c>
      <c r="B16" t="s">
        <v>39</v>
      </c>
      <c r="C16" s="1">
        <v>44941</v>
      </c>
      <c r="D16" t="s">
        <v>27</v>
      </c>
      <c r="E16" t="s">
        <v>28</v>
      </c>
      <c r="F16" t="s">
        <v>29</v>
      </c>
      <c r="G16" t="s">
        <v>30</v>
      </c>
      <c r="H16">
        <v>21.22</v>
      </c>
      <c r="I16">
        <v>184</v>
      </c>
      <c r="J16">
        <v>3904.48</v>
      </c>
      <c r="K16" t="s">
        <v>31</v>
      </c>
    </row>
    <row r="17" spans="1:11" x14ac:dyDescent="0.35">
      <c r="A17" t="s">
        <v>57</v>
      </c>
      <c r="B17" t="s">
        <v>12</v>
      </c>
      <c r="C17" s="1">
        <v>44584</v>
      </c>
      <c r="D17" t="s">
        <v>13</v>
      </c>
      <c r="E17" t="s">
        <v>14</v>
      </c>
      <c r="F17" t="s">
        <v>15</v>
      </c>
      <c r="G17" t="s">
        <v>23</v>
      </c>
      <c r="H17">
        <v>27.57</v>
      </c>
      <c r="I17">
        <v>987</v>
      </c>
      <c r="J17">
        <v>27211.59</v>
      </c>
      <c r="K17" t="s">
        <v>24</v>
      </c>
    </row>
    <row r="18" spans="1:11" x14ac:dyDescent="0.35">
      <c r="A18" t="s">
        <v>58</v>
      </c>
      <c r="B18" t="s">
        <v>19</v>
      </c>
      <c r="C18" s="1">
        <v>44808</v>
      </c>
      <c r="D18" t="s">
        <v>20</v>
      </c>
      <c r="E18" t="s">
        <v>21</v>
      </c>
      <c r="F18" t="s">
        <v>22</v>
      </c>
      <c r="G18" t="s">
        <v>16</v>
      </c>
      <c r="H18">
        <v>67.27</v>
      </c>
      <c r="I18">
        <v>101</v>
      </c>
      <c r="J18">
        <v>6794.27</v>
      </c>
      <c r="K18" t="s">
        <v>17</v>
      </c>
    </row>
    <row r="19" spans="1:11" x14ac:dyDescent="0.35">
      <c r="A19" t="s">
        <v>59</v>
      </c>
      <c r="B19" t="s">
        <v>26</v>
      </c>
      <c r="C19" s="1">
        <v>44782</v>
      </c>
      <c r="D19" t="s">
        <v>27</v>
      </c>
      <c r="E19" t="s">
        <v>28</v>
      </c>
      <c r="F19" t="s">
        <v>29</v>
      </c>
      <c r="G19" t="s">
        <v>30</v>
      </c>
      <c r="H19">
        <v>84.22</v>
      </c>
      <c r="I19">
        <v>591</v>
      </c>
      <c r="J19">
        <v>49774.02</v>
      </c>
      <c r="K19" t="s">
        <v>24</v>
      </c>
    </row>
    <row r="20" spans="1:11" x14ac:dyDescent="0.35">
      <c r="A20" t="s">
        <v>60</v>
      </c>
      <c r="B20" t="s">
        <v>33</v>
      </c>
      <c r="C20" s="1">
        <v>44935</v>
      </c>
      <c r="D20" t="s">
        <v>34</v>
      </c>
      <c r="E20" t="s">
        <v>48</v>
      </c>
      <c r="F20" t="s">
        <v>49</v>
      </c>
      <c r="G20" t="s">
        <v>37</v>
      </c>
      <c r="H20">
        <v>74.78</v>
      </c>
      <c r="I20">
        <v>812</v>
      </c>
      <c r="J20">
        <v>60721.36</v>
      </c>
      <c r="K20" t="s">
        <v>31</v>
      </c>
    </row>
    <row r="21" spans="1:11" x14ac:dyDescent="0.35">
      <c r="A21" t="s">
        <v>61</v>
      </c>
      <c r="B21" t="s">
        <v>39</v>
      </c>
      <c r="C21" s="1">
        <v>44604</v>
      </c>
      <c r="D21" t="s">
        <v>13</v>
      </c>
      <c r="E21" t="s">
        <v>14</v>
      </c>
      <c r="F21" t="s">
        <v>15</v>
      </c>
      <c r="G21" t="s">
        <v>23</v>
      </c>
      <c r="H21">
        <v>26.64</v>
      </c>
      <c r="I21">
        <v>850</v>
      </c>
      <c r="J21">
        <v>22644</v>
      </c>
      <c r="K21" t="s">
        <v>17</v>
      </c>
    </row>
    <row r="22" spans="1:11" x14ac:dyDescent="0.35">
      <c r="A22" t="s">
        <v>62</v>
      </c>
      <c r="B22" t="s">
        <v>12</v>
      </c>
      <c r="C22" s="1">
        <v>44658</v>
      </c>
      <c r="D22" t="s">
        <v>27</v>
      </c>
      <c r="E22" t="s">
        <v>28</v>
      </c>
      <c r="F22" t="s">
        <v>29</v>
      </c>
      <c r="G22" t="s">
        <v>16</v>
      </c>
      <c r="H22">
        <v>62.44</v>
      </c>
      <c r="I22">
        <v>112</v>
      </c>
      <c r="J22">
        <v>6993.28</v>
      </c>
      <c r="K22" t="s">
        <v>17</v>
      </c>
    </row>
    <row r="23" spans="1:11" x14ac:dyDescent="0.35">
      <c r="A23" t="s">
        <v>63</v>
      </c>
      <c r="B23" t="s">
        <v>19</v>
      </c>
      <c r="C23" s="1">
        <v>44925</v>
      </c>
      <c r="D23" t="s">
        <v>40</v>
      </c>
      <c r="E23" t="s">
        <v>41</v>
      </c>
      <c r="F23" t="s">
        <v>42</v>
      </c>
      <c r="G23" t="s">
        <v>30</v>
      </c>
      <c r="H23">
        <v>29.53</v>
      </c>
      <c r="I23">
        <v>925</v>
      </c>
      <c r="J23">
        <v>27315.25</v>
      </c>
      <c r="K23" t="s">
        <v>24</v>
      </c>
    </row>
    <row r="24" spans="1:11" x14ac:dyDescent="0.35">
      <c r="A24" t="s">
        <v>64</v>
      </c>
      <c r="B24" t="s">
        <v>26</v>
      </c>
      <c r="C24" s="1">
        <v>44620</v>
      </c>
      <c r="D24" t="s">
        <v>34</v>
      </c>
      <c r="E24" t="s">
        <v>35</v>
      </c>
      <c r="F24" t="s">
        <v>36</v>
      </c>
      <c r="G24" t="s">
        <v>37</v>
      </c>
      <c r="H24">
        <v>41.89</v>
      </c>
      <c r="I24">
        <v>45</v>
      </c>
      <c r="J24">
        <v>1885.05</v>
      </c>
      <c r="K24" t="s">
        <v>31</v>
      </c>
    </row>
    <row r="25" spans="1:11" x14ac:dyDescent="0.35">
      <c r="A25" t="s">
        <v>65</v>
      </c>
      <c r="B25" t="s">
        <v>33</v>
      </c>
      <c r="C25" s="1">
        <v>44776</v>
      </c>
      <c r="D25" t="s">
        <v>13</v>
      </c>
      <c r="E25" t="s">
        <v>14</v>
      </c>
      <c r="F25" t="s">
        <v>15</v>
      </c>
      <c r="G25" t="s">
        <v>50</v>
      </c>
      <c r="H25">
        <v>94.62</v>
      </c>
      <c r="I25">
        <v>1139</v>
      </c>
      <c r="J25">
        <v>107772.18</v>
      </c>
      <c r="K25" t="s">
        <v>17</v>
      </c>
    </row>
    <row r="26" spans="1:11" x14ac:dyDescent="0.35">
      <c r="A26" t="s">
        <v>66</v>
      </c>
      <c r="B26" t="s">
        <v>39</v>
      </c>
      <c r="C26" s="1">
        <v>44728</v>
      </c>
      <c r="D26" t="s">
        <v>20</v>
      </c>
      <c r="E26" t="s">
        <v>21</v>
      </c>
      <c r="F26" t="s">
        <v>22</v>
      </c>
      <c r="G26" t="s">
        <v>37</v>
      </c>
      <c r="H26">
        <v>31.49</v>
      </c>
      <c r="I26">
        <v>681</v>
      </c>
      <c r="J26">
        <v>21444.69</v>
      </c>
      <c r="K26" t="s">
        <v>24</v>
      </c>
    </row>
    <row r="27" spans="1:11" x14ac:dyDescent="0.35">
      <c r="A27" t="s">
        <v>67</v>
      </c>
      <c r="B27" t="s">
        <v>12</v>
      </c>
      <c r="C27" s="1">
        <v>44845</v>
      </c>
      <c r="D27" t="s">
        <v>27</v>
      </c>
      <c r="E27" t="s">
        <v>28</v>
      </c>
      <c r="F27" t="s">
        <v>29</v>
      </c>
      <c r="G27" t="s">
        <v>23</v>
      </c>
      <c r="H27">
        <v>61.64</v>
      </c>
      <c r="I27">
        <v>150</v>
      </c>
      <c r="J27">
        <v>9246</v>
      </c>
      <c r="K27" t="s">
        <v>31</v>
      </c>
    </row>
    <row r="28" spans="1:11" x14ac:dyDescent="0.35">
      <c r="A28" t="s">
        <v>68</v>
      </c>
      <c r="B28" t="s">
        <v>19</v>
      </c>
      <c r="C28" s="1">
        <v>44700</v>
      </c>
      <c r="D28" t="s">
        <v>40</v>
      </c>
      <c r="E28" t="s">
        <v>41</v>
      </c>
      <c r="F28" t="s">
        <v>42</v>
      </c>
      <c r="G28" t="s">
        <v>30</v>
      </c>
      <c r="H28">
        <v>18.13</v>
      </c>
      <c r="I28">
        <v>1109</v>
      </c>
      <c r="J28">
        <v>20106.169999999998</v>
      </c>
      <c r="K28" t="s">
        <v>17</v>
      </c>
    </row>
    <row r="29" spans="1:11" x14ac:dyDescent="0.35">
      <c r="A29" t="s">
        <v>69</v>
      </c>
      <c r="B29" t="s">
        <v>26</v>
      </c>
      <c r="C29" s="1">
        <v>44578</v>
      </c>
      <c r="D29" t="s">
        <v>34</v>
      </c>
      <c r="E29" t="s">
        <v>48</v>
      </c>
      <c r="F29" t="s">
        <v>49</v>
      </c>
      <c r="G29" t="s">
        <v>37</v>
      </c>
      <c r="H29">
        <v>89.05</v>
      </c>
      <c r="I29">
        <v>1029</v>
      </c>
      <c r="J29">
        <v>91632.45</v>
      </c>
      <c r="K29" t="s">
        <v>24</v>
      </c>
    </row>
    <row r="30" spans="1:11" x14ac:dyDescent="0.35">
      <c r="A30" t="s">
        <v>70</v>
      </c>
      <c r="B30" t="s">
        <v>33</v>
      </c>
      <c r="C30" s="1">
        <v>44945</v>
      </c>
      <c r="D30" t="s">
        <v>13</v>
      </c>
      <c r="E30" t="s">
        <v>14</v>
      </c>
      <c r="F30" t="s">
        <v>15</v>
      </c>
      <c r="G30" t="s">
        <v>23</v>
      </c>
      <c r="H30">
        <v>69.010000000000005</v>
      </c>
      <c r="I30">
        <v>122</v>
      </c>
      <c r="J30">
        <v>8419.2199999999993</v>
      </c>
      <c r="K30" t="s">
        <v>31</v>
      </c>
    </row>
    <row r="31" spans="1:11" x14ac:dyDescent="0.35">
      <c r="A31" t="s">
        <v>71</v>
      </c>
      <c r="B31" t="s">
        <v>39</v>
      </c>
      <c r="C31" s="1">
        <v>44622</v>
      </c>
      <c r="D31" t="s">
        <v>20</v>
      </c>
      <c r="E31" t="s">
        <v>21</v>
      </c>
      <c r="F31" t="s">
        <v>22</v>
      </c>
      <c r="G31" t="s">
        <v>16</v>
      </c>
      <c r="H31">
        <v>71.709999999999994</v>
      </c>
      <c r="I31">
        <v>597</v>
      </c>
      <c r="J31">
        <v>42810.87</v>
      </c>
      <c r="K31" t="s">
        <v>17</v>
      </c>
    </row>
    <row r="32" spans="1:11" x14ac:dyDescent="0.35">
      <c r="A32" t="s">
        <v>72</v>
      </c>
      <c r="B32" t="s">
        <v>12</v>
      </c>
      <c r="C32" s="1">
        <v>44832</v>
      </c>
      <c r="D32" t="s">
        <v>27</v>
      </c>
      <c r="E32" t="s">
        <v>28</v>
      </c>
      <c r="F32" t="s">
        <v>29</v>
      </c>
      <c r="G32" t="s">
        <v>50</v>
      </c>
      <c r="H32">
        <v>95.57</v>
      </c>
      <c r="I32">
        <v>498</v>
      </c>
      <c r="J32">
        <v>47593.86</v>
      </c>
      <c r="K32" t="s">
        <v>24</v>
      </c>
    </row>
    <row r="33" spans="1:11" x14ac:dyDescent="0.35">
      <c r="A33" t="s">
        <v>73</v>
      </c>
      <c r="B33" t="s">
        <v>19</v>
      </c>
      <c r="C33" s="1">
        <v>44911</v>
      </c>
      <c r="D33" t="s">
        <v>40</v>
      </c>
      <c r="E33" t="s">
        <v>41</v>
      </c>
      <c r="F33" t="s">
        <v>42</v>
      </c>
      <c r="G33" t="s">
        <v>23</v>
      </c>
      <c r="H33">
        <v>23.87</v>
      </c>
      <c r="I33">
        <v>625</v>
      </c>
      <c r="J33">
        <v>14918.75</v>
      </c>
      <c r="K33" t="s">
        <v>31</v>
      </c>
    </row>
    <row r="34" spans="1:11" x14ac:dyDescent="0.35">
      <c r="A34" t="s">
        <v>74</v>
      </c>
      <c r="B34" t="s">
        <v>26</v>
      </c>
      <c r="C34" s="1">
        <v>44766</v>
      </c>
      <c r="D34" t="s">
        <v>34</v>
      </c>
      <c r="E34" t="s">
        <v>35</v>
      </c>
      <c r="F34" t="s">
        <v>36</v>
      </c>
      <c r="G34" t="s">
        <v>16</v>
      </c>
      <c r="H34">
        <v>44.19</v>
      </c>
      <c r="I34">
        <v>212</v>
      </c>
      <c r="J34">
        <v>9368.2800000000007</v>
      </c>
      <c r="K34" t="s">
        <v>17</v>
      </c>
    </row>
    <row r="35" spans="1:11" x14ac:dyDescent="0.35">
      <c r="A35" t="s">
        <v>75</v>
      </c>
      <c r="B35" t="s">
        <v>33</v>
      </c>
      <c r="C35" s="1">
        <v>44602</v>
      </c>
      <c r="D35" t="s">
        <v>13</v>
      </c>
      <c r="E35" t="s">
        <v>14</v>
      </c>
      <c r="F35" t="s">
        <v>15</v>
      </c>
      <c r="G35" t="s">
        <v>30</v>
      </c>
      <c r="H35">
        <v>37.020000000000003</v>
      </c>
      <c r="I35">
        <v>583</v>
      </c>
      <c r="J35">
        <v>21582.66</v>
      </c>
      <c r="K35" t="s">
        <v>24</v>
      </c>
    </row>
    <row r="36" spans="1:11" x14ac:dyDescent="0.35">
      <c r="A36" t="s">
        <v>76</v>
      </c>
      <c r="B36" t="s">
        <v>39</v>
      </c>
      <c r="C36" s="1">
        <v>44707</v>
      </c>
      <c r="D36" t="s">
        <v>20</v>
      </c>
      <c r="E36" t="s">
        <v>21</v>
      </c>
      <c r="F36" t="s">
        <v>22</v>
      </c>
      <c r="G36" t="s">
        <v>23</v>
      </c>
      <c r="H36">
        <v>67.430000000000007</v>
      </c>
      <c r="I36">
        <v>1141</v>
      </c>
      <c r="J36">
        <v>76937.63</v>
      </c>
      <c r="K36" t="s">
        <v>31</v>
      </c>
    </row>
    <row r="37" spans="1:11" x14ac:dyDescent="0.35">
      <c r="A37" t="s">
        <v>77</v>
      </c>
      <c r="B37" t="s">
        <v>12</v>
      </c>
      <c r="C37" s="1">
        <v>44928</v>
      </c>
      <c r="D37" t="s">
        <v>27</v>
      </c>
      <c r="E37" t="s">
        <v>28</v>
      </c>
      <c r="F37" t="s">
        <v>29</v>
      </c>
      <c r="G37" t="s">
        <v>50</v>
      </c>
      <c r="H37">
        <v>83.77</v>
      </c>
      <c r="I37">
        <v>998</v>
      </c>
      <c r="J37">
        <v>83602.460000000006</v>
      </c>
      <c r="K37" t="s">
        <v>17</v>
      </c>
    </row>
    <row r="38" spans="1:11" x14ac:dyDescent="0.35">
      <c r="A38" t="s">
        <v>78</v>
      </c>
      <c r="B38" t="s">
        <v>19</v>
      </c>
      <c r="C38" s="1">
        <v>44694</v>
      </c>
      <c r="D38" t="s">
        <v>40</v>
      </c>
      <c r="E38" t="s">
        <v>41</v>
      </c>
      <c r="F38" t="s">
        <v>42</v>
      </c>
      <c r="G38" t="s">
        <v>16</v>
      </c>
      <c r="H38">
        <v>30.28</v>
      </c>
      <c r="I38">
        <v>96</v>
      </c>
      <c r="J38">
        <v>2906.88</v>
      </c>
      <c r="K38" t="s">
        <v>24</v>
      </c>
    </row>
    <row r="39" spans="1:11" x14ac:dyDescent="0.35">
      <c r="A39" t="s">
        <v>79</v>
      </c>
      <c r="B39" t="s">
        <v>26</v>
      </c>
      <c r="C39" s="1">
        <v>44839</v>
      </c>
      <c r="D39" t="s">
        <v>34</v>
      </c>
      <c r="E39" t="s">
        <v>48</v>
      </c>
      <c r="F39" t="s">
        <v>49</v>
      </c>
      <c r="G39" t="s">
        <v>37</v>
      </c>
      <c r="H39">
        <v>49.62</v>
      </c>
      <c r="I39">
        <v>844</v>
      </c>
      <c r="J39">
        <v>41879.279999999999</v>
      </c>
      <c r="K39" t="s">
        <v>31</v>
      </c>
    </row>
    <row r="40" spans="1:11" x14ac:dyDescent="0.35">
      <c r="A40" t="s">
        <v>80</v>
      </c>
      <c r="B40" t="s">
        <v>33</v>
      </c>
      <c r="C40" s="1">
        <v>44733</v>
      </c>
      <c r="D40" t="s">
        <v>13</v>
      </c>
      <c r="E40" t="s">
        <v>14</v>
      </c>
      <c r="F40" t="s">
        <v>15</v>
      </c>
      <c r="G40" t="s">
        <v>44</v>
      </c>
      <c r="H40">
        <v>15.78</v>
      </c>
      <c r="I40">
        <v>933</v>
      </c>
      <c r="J40">
        <v>14722.74</v>
      </c>
      <c r="K40" t="s">
        <v>17</v>
      </c>
    </row>
    <row r="41" spans="1:11" x14ac:dyDescent="0.35">
      <c r="A41" t="s">
        <v>81</v>
      </c>
      <c r="B41" t="s">
        <v>39</v>
      </c>
      <c r="C41" s="1">
        <v>44855</v>
      </c>
      <c r="D41" t="s">
        <v>20</v>
      </c>
      <c r="E41" t="s">
        <v>21</v>
      </c>
      <c r="F41" t="s">
        <v>22</v>
      </c>
      <c r="G41" t="s">
        <v>30</v>
      </c>
      <c r="H41">
        <v>47.05</v>
      </c>
      <c r="I41">
        <v>365</v>
      </c>
      <c r="J41">
        <v>17173.25</v>
      </c>
      <c r="K41" t="s">
        <v>24</v>
      </c>
    </row>
    <row r="42" spans="1:11" x14ac:dyDescent="0.35">
      <c r="A42" t="s">
        <v>82</v>
      </c>
      <c r="B42" t="s">
        <v>12</v>
      </c>
      <c r="C42" s="1">
        <v>44799</v>
      </c>
      <c r="D42" t="s">
        <v>27</v>
      </c>
      <c r="E42" t="s">
        <v>28</v>
      </c>
      <c r="F42" t="s">
        <v>29</v>
      </c>
      <c r="G42" t="s">
        <v>50</v>
      </c>
      <c r="H42">
        <v>53.56</v>
      </c>
      <c r="I42">
        <v>472</v>
      </c>
      <c r="J42">
        <v>25280.32</v>
      </c>
      <c r="K42" t="s">
        <v>31</v>
      </c>
    </row>
    <row r="43" spans="1:11" x14ac:dyDescent="0.35">
      <c r="A43" t="s">
        <v>83</v>
      </c>
      <c r="B43" t="s">
        <v>19</v>
      </c>
      <c r="C43" s="1">
        <v>44637</v>
      </c>
      <c r="D43" t="s">
        <v>40</v>
      </c>
      <c r="E43" t="s">
        <v>41</v>
      </c>
      <c r="F43" t="s">
        <v>42</v>
      </c>
      <c r="G43" t="s">
        <v>44</v>
      </c>
      <c r="H43">
        <v>95.21</v>
      </c>
      <c r="I43">
        <v>413</v>
      </c>
      <c r="J43">
        <v>39321.730000000003</v>
      </c>
      <c r="K43" t="s">
        <v>17</v>
      </c>
    </row>
    <row r="44" spans="1:11" x14ac:dyDescent="0.35">
      <c r="A44" t="s">
        <v>84</v>
      </c>
      <c r="B44" t="s">
        <v>26</v>
      </c>
      <c r="C44" s="1">
        <v>44589</v>
      </c>
      <c r="D44" t="s">
        <v>34</v>
      </c>
      <c r="E44" t="s">
        <v>35</v>
      </c>
      <c r="F44" t="s">
        <v>36</v>
      </c>
      <c r="G44" t="s">
        <v>16</v>
      </c>
      <c r="H44">
        <v>79.98</v>
      </c>
      <c r="I44">
        <v>927</v>
      </c>
      <c r="J44">
        <v>74141.460000000006</v>
      </c>
      <c r="K44" t="s">
        <v>24</v>
      </c>
    </row>
    <row r="45" spans="1:11" x14ac:dyDescent="0.35">
      <c r="A45" t="s">
        <v>85</v>
      </c>
      <c r="B45" t="s">
        <v>33</v>
      </c>
      <c r="C45" s="1">
        <v>44785</v>
      </c>
      <c r="D45" t="s">
        <v>13</v>
      </c>
      <c r="E45" t="s">
        <v>14</v>
      </c>
      <c r="F45" t="s">
        <v>15</v>
      </c>
      <c r="G45" t="s">
        <v>30</v>
      </c>
      <c r="H45">
        <v>40.07</v>
      </c>
      <c r="I45">
        <v>208</v>
      </c>
      <c r="J45">
        <v>8334.56</v>
      </c>
      <c r="K45" t="s">
        <v>31</v>
      </c>
    </row>
    <row r="46" spans="1:11" x14ac:dyDescent="0.35">
      <c r="A46" t="s">
        <v>86</v>
      </c>
      <c r="B46" t="s">
        <v>39</v>
      </c>
      <c r="C46" s="1">
        <v>44689</v>
      </c>
      <c r="D46" t="s">
        <v>20</v>
      </c>
      <c r="E46" t="s">
        <v>21</v>
      </c>
      <c r="F46" t="s">
        <v>22</v>
      </c>
      <c r="G46" t="s">
        <v>23</v>
      </c>
      <c r="H46">
        <v>31.29</v>
      </c>
      <c r="I46">
        <v>324</v>
      </c>
      <c r="J46">
        <v>10137.959999999999</v>
      </c>
      <c r="K46" t="s">
        <v>17</v>
      </c>
    </row>
    <row r="47" spans="1:11" x14ac:dyDescent="0.35">
      <c r="A47" t="s">
        <v>87</v>
      </c>
      <c r="B47" t="s">
        <v>12</v>
      </c>
      <c r="C47" s="1">
        <v>44862</v>
      </c>
      <c r="D47" t="s">
        <v>27</v>
      </c>
      <c r="E47" t="s">
        <v>28</v>
      </c>
      <c r="F47" t="s">
        <v>29</v>
      </c>
      <c r="G47" t="s">
        <v>30</v>
      </c>
      <c r="H47">
        <v>67.55</v>
      </c>
      <c r="I47">
        <v>695</v>
      </c>
      <c r="J47">
        <v>46947.25</v>
      </c>
      <c r="K47" t="s">
        <v>24</v>
      </c>
    </row>
    <row r="48" spans="1:11" x14ac:dyDescent="0.35">
      <c r="A48" t="s">
        <v>88</v>
      </c>
      <c r="B48" t="s">
        <v>19</v>
      </c>
      <c r="C48" s="1">
        <v>44866</v>
      </c>
      <c r="D48" t="s">
        <v>40</v>
      </c>
      <c r="E48" t="s">
        <v>41</v>
      </c>
      <c r="F48" t="s">
        <v>42</v>
      </c>
      <c r="G48" t="s">
        <v>23</v>
      </c>
      <c r="H48">
        <v>76.23</v>
      </c>
      <c r="I48">
        <v>1171</v>
      </c>
      <c r="J48">
        <v>89265.33</v>
      </c>
      <c r="K48" t="s">
        <v>31</v>
      </c>
    </row>
    <row r="49" spans="1:11" x14ac:dyDescent="0.35">
      <c r="A49" t="s">
        <v>89</v>
      </c>
      <c r="B49" t="s">
        <v>26</v>
      </c>
      <c r="C49" s="1">
        <v>44613</v>
      </c>
      <c r="D49" t="s">
        <v>34</v>
      </c>
      <c r="E49" t="s">
        <v>48</v>
      </c>
      <c r="F49" t="s">
        <v>49</v>
      </c>
      <c r="G49" t="s">
        <v>16</v>
      </c>
      <c r="H49">
        <v>24.54</v>
      </c>
      <c r="I49">
        <v>751</v>
      </c>
      <c r="J49">
        <v>18429.54</v>
      </c>
      <c r="K49" t="s">
        <v>17</v>
      </c>
    </row>
    <row r="50" spans="1:11" x14ac:dyDescent="0.35">
      <c r="A50" t="s">
        <v>90</v>
      </c>
      <c r="B50" t="s">
        <v>33</v>
      </c>
      <c r="C50" s="1">
        <v>44762</v>
      </c>
      <c r="D50" t="s">
        <v>13</v>
      </c>
      <c r="E50" t="s">
        <v>14</v>
      </c>
      <c r="F50" t="s">
        <v>15</v>
      </c>
      <c r="G50" t="s">
        <v>23</v>
      </c>
      <c r="H50">
        <v>61.42</v>
      </c>
      <c r="I50">
        <v>87</v>
      </c>
      <c r="J50">
        <v>5343.54</v>
      </c>
      <c r="K50" t="s">
        <v>24</v>
      </c>
    </row>
    <row r="51" spans="1:11" x14ac:dyDescent="0.35">
      <c r="A51" t="s">
        <v>91</v>
      </c>
      <c r="B51" t="s">
        <v>39</v>
      </c>
      <c r="C51" s="1">
        <v>44949</v>
      </c>
      <c r="D51" t="s">
        <v>20</v>
      </c>
      <c r="E51" t="s">
        <v>21</v>
      </c>
      <c r="F51" t="s">
        <v>22</v>
      </c>
      <c r="G51" t="s">
        <v>50</v>
      </c>
      <c r="H51">
        <v>32.74</v>
      </c>
      <c r="I51">
        <v>214</v>
      </c>
      <c r="J51">
        <v>7006.36</v>
      </c>
      <c r="K51" t="s">
        <v>31</v>
      </c>
    </row>
    <row r="52" spans="1:11" x14ac:dyDescent="0.35">
      <c r="A52" t="s">
        <v>92</v>
      </c>
      <c r="B52" t="s">
        <v>12</v>
      </c>
      <c r="C52" s="1">
        <v>44675</v>
      </c>
      <c r="D52" t="s">
        <v>27</v>
      </c>
      <c r="E52" t="s">
        <v>28</v>
      </c>
      <c r="F52" t="s">
        <v>29</v>
      </c>
      <c r="G52" t="s">
        <v>37</v>
      </c>
      <c r="H52">
        <v>90.24</v>
      </c>
      <c r="I52">
        <v>547</v>
      </c>
      <c r="J52">
        <v>49361.279999999999</v>
      </c>
      <c r="K52" t="s">
        <v>17</v>
      </c>
    </row>
    <row r="53" spans="1:11" x14ac:dyDescent="0.35">
      <c r="A53" t="s">
        <v>93</v>
      </c>
      <c r="B53" t="s">
        <v>19</v>
      </c>
      <c r="C53" s="1">
        <v>44824</v>
      </c>
      <c r="D53" t="s">
        <v>40</v>
      </c>
      <c r="E53" t="s">
        <v>41</v>
      </c>
      <c r="F53" t="s">
        <v>42</v>
      </c>
      <c r="G53" t="s">
        <v>30</v>
      </c>
      <c r="H53">
        <v>43.32</v>
      </c>
      <c r="I53">
        <v>609</v>
      </c>
      <c r="J53">
        <v>26381.88</v>
      </c>
      <c r="K53" t="s">
        <v>24</v>
      </c>
    </row>
    <row r="54" spans="1:11" x14ac:dyDescent="0.35">
      <c r="A54" t="s">
        <v>94</v>
      </c>
      <c r="B54" t="s">
        <v>26</v>
      </c>
      <c r="C54" s="1">
        <v>44717</v>
      </c>
      <c r="D54" t="s">
        <v>34</v>
      </c>
      <c r="E54" t="s">
        <v>35</v>
      </c>
      <c r="F54" t="s">
        <v>36</v>
      </c>
      <c r="G54" t="s">
        <v>23</v>
      </c>
      <c r="H54">
        <v>25.66</v>
      </c>
      <c r="I54">
        <v>1099</v>
      </c>
      <c r="J54">
        <v>28200.34</v>
      </c>
      <c r="K54" t="s">
        <v>31</v>
      </c>
    </row>
    <row r="55" spans="1:11" x14ac:dyDescent="0.35">
      <c r="A55" t="s">
        <v>95</v>
      </c>
      <c r="B55" t="s">
        <v>33</v>
      </c>
      <c r="C55" s="1">
        <v>44572</v>
      </c>
      <c r="D55" t="s">
        <v>13</v>
      </c>
      <c r="E55" t="s">
        <v>14</v>
      </c>
      <c r="F55" t="s">
        <v>15</v>
      </c>
      <c r="G55" t="s">
        <v>16</v>
      </c>
      <c r="H55">
        <v>78.569999999999993</v>
      </c>
      <c r="I55">
        <v>920</v>
      </c>
      <c r="J55">
        <v>72284.399999999994</v>
      </c>
      <c r="K55" t="s">
        <v>17</v>
      </c>
    </row>
    <row r="56" spans="1:11" x14ac:dyDescent="0.35">
      <c r="A56" t="s">
        <v>96</v>
      </c>
      <c r="B56" t="s">
        <v>39</v>
      </c>
      <c r="C56" s="1">
        <v>44873</v>
      </c>
      <c r="D56" t="s">
        <v>20</v>
      </c>
      <c r="E56" t="s">
        <v>21</v>
      </c>
      <c r="F56" t="s">
        <v>22</v>
      </c>
      <c r="G56" t="s">
        <v>30</v>
      </c>
      <c r="H56">
        <v>48.61</v>
      </c>
      <c r="I56">
        <v>366</v>
      </c>
      <c r="J56">
        <v>17791.259999999998</v>
      </c>
      <c r="K56" t="s">
        <v>24</v>
      </c>
    </row>
    <row r="57" spans="1:11" x14ac:dyDescent="0.35">
      <c r="A57" t="s">
        <v>97</v>
      </c>
      <c r="B57" t="s">
        <v>12</v>
      </c>
      <c r="C57" s="1">
        <v>44629</v>
      </c>
      <c r="D57" t="s">
        <v>27</v>
      </c>
      <c r="E57" t="s">
        <v>28</v>
      </c>
      <c r="F57" t="s">
        <v>29</v>
      </c>
      <c r="G57" t="s">
        <v>50</v>
      </c>
      <c r="H57">
        <v>33.69</v>
      </c>
      <c r="I57">
        <v>532</v>
      </c>
      <c r="J57">
        <v>17923.080000000002</v>
      </c>
      <c r="K57" t="s">
        <v>31</v>
      </c>
    </row>
    <row r="58" spans="1:11" x14ac:dyDescent="0.35">
      <c r="A58" t="s">
        <v>98</v>
      </c>
      <c r="B58" t="s">
        <v>19</v>
      </c>
      <c r="C58" s="1">
        <v>44918</v>
      </c>
      <c r="D58" t="s">
        <v>40</v>
      </c>
      <c r="E58" t="s">
        <v>41</v>
      </c>
      <c r="F58" t="s">
        <v>42</v>
      </c>
      <c r="G58" t="s">
        <v>23</v>
      </c>
      <c r="H58">
        <v>64.790000000000006</v>
      </c>
      <c r="I58">
        <v>717</v>
      </c>
      <c r="J58">
        <v>46454.43</v>
      </c>
      <c r="K58" t="s">
        <v>17</v>
      </c>
    </row>
    <row r="59" spans="1:11" x14ac:dyDescent="0.35">
      <c r="A59" t="s">
        <v>99</v>
      </c>
      <c r="B59" t="s">
        <v>26</v>
      </c>
      <c r="C59" s="1">
        <v>44710</v>
      </c>
      <c r="D59" t="s">
        <v>34</v>
      </c>
      <c r="E59" t="s">
        <v>48</v>
      </c>
      <c r="F59" t="s">
        <v>49</v>
      </c>
      <c r="G59" t="s">
        <v>37</v>
      </c>
      <c r="H59">
        <v>18.61</v>
      </c>
      <c r="I59">
        <v>923</v>
      </c>
      <c r="J59">
        <v>17177.03</v>
      </c>
      <c r="K59" t="s">
        <v>24</v>
      </c>
    </row>
    <row r="60" spans="1:11" x14ac:dyDescent="0.35">
      <c r="A60" t="s">
        <v>100</v>
      </c>
      <c r="B60" t="s">
        <v>33</v>
      </c>
      <c r="C60" s="1">
        <v>44848</v>
      </c>
      <c r="D60" t="s">
        <v>13</v>
      </c>
      <c r="E60" t="s">
        <v>14</v>
      </c>
      <c r="F60" t="s">
        <v>15</v>
      </c>
      <c r="G60" t="s">
        <v>30</v>
      </c>
      <c r="H60">
        <v>52.21</v>
      </c>
      <c r="I60">
        <v>779</v>
      </c>
      <c r="J60">
        <v>40671.589999999997</v>
      </c>
      <c r="K60" t="s">
        <v>31</v>
      </c>
    </row>
    <row r="61" spans="1:11" x14ac:dyDescent="0.35">
      <c r="A61" t="s">
        <v>101</v>
      </c>
      <c r="B61" t="s">
        <v>39</v>
      </c>
      <c r="C61" s="1">
        <v>44722</v>
      </c>
      <c r="D61" t="s">
        <v>20</v>
      </c>
      <c r="E61" t="s">
        <v>21</v>
      </c>
      <c r="F61" t="s">
        <v>22</v>
      </c>
      <c r="G61" t="s">
        <v>50</v>
      </c>
      <c r="H61">
        <v>87.82</v>
      </c>
      <c r="I61">
        <v>980</v>
      </c>
      <c r="J61">
        <v>86063.6</v>
      </c>
      <c r="K61" t="s">
        <v>17</v>
      </c>
    </row>
    <row r="62" spans="1:11" x14ac:dyDescent="0.35">
      <c r="A62" t="s">
        <v>102</v>
      </c>
      <c r="B62" t="s">
        <v>12</v>
      </c>
      <c r="C62" s="1">
        <v>44569</v>
      </c>
      <c r="D62" t="s">
        <v>27</v>
      </c>
      <c r="E62" t="s">
        <v>28</v>
      </c>
      <c r="F62" t="s">
        <v>29</v>
      </c>
      <c r="G62" t="s">
        <v>37</v>
      </c>
      <c r="H62">
        <v>29.01</v>
      </c>
      <c r="I62">
        <v>853</v>
      </c>
      <c r="J62">
        <v>24745.53</v>
      </c>
      <c r="K62" t="s">
        <v>24</v>
      </c>
    </row>
    <row r="63" spans="1:11" x14ac:dyDescent="0.35">
      <c r="A63" t="s">
        <v>103</v>
      </c>
      <c r="B63" t="s">
        <v>19</v>
      </c>
      <c r="C63" s="1">
        <v>44817</v>
      </c>
      <c r="D63" t="s">
        <v>40</v>
      </c>
      <c r="E63" t="s">
        <v>41</v>
      </c>
      <c r="F63" t="s">
        <v>42</v>
      </c>
      <c r="G63" t="s">
        <v>30</v>
      </c>
      <c r="H63">
        <v>67.77</v>
      </c>
      <c r="I63">
        <v>654</v>
      </c>
      <c r="J63">
        <v>44321.58</v>
      </c>
      <c r="K63" t="s">
        <v>31</v>
      </c>
    </row>
    <row r="64" spans="1:11" x14ac:dyDescent="0.35">
      <c r="A64" t="s">
        <v>104</v>
      </c>
      <c r="B64" t="s">
        <v>26</v>
      </c>
      <c r="C64" s="1">
        <v>44890</v>
      </c>
      <c r="D64" t="s">
        <v>34</v>
      </c>
      <c r="E64" t="s">
        <v>35</v>
      </c>
      <c r="F64" t="s">
        <v>36</v>
      </c>
      <c r="G64" t="s">
        <v>16</v>
      </c>
      <c r="H64">
        <v>79.67</v>
      </c>
      <c r="I64">
        <v>822</v>
      </c>
      <c r="J64">
        <v>65488.74</v>
      </c>
      <c r="K64" t="s">
        <v>17</v>
      </c>
    </row>
    <row r="65" spans="1:11" x14ac:dyDescent="0.35">
      <c r="A65" t="s">
        <v>105</v>
      </c>
      <c r="B65" t="s">
        <v>33</v>
      </c>
      <c r="C65" s="1">
        <v>44681</v>
      </c>
      <c r="D65" t="s">
        <v>13</v>
      </c>
      <c r="E65" t="s">
        <v>14</v>
      </c>
      <c r="F65" t="s">
        <v>15</v>
      </c>
      <c r="G65" t="s">
        <v>23</v>
      </c>
      <c r="H65">
        <v>59.34</v>
      </c>
      <c r="I65">
        <v>694</v>
      </c>
      <c r="J65">
        <v>41181.96</v>
      </c>
      <c r="K65" t="s">
        <v>24</v>
      </c>
    </row>
    <row r="66" spans="1:11" x14ac:dyDescent="0.35">
      <c r="A66" t="s">
        <v>106</v>
      </c>
      <c r="B66" t="s">
        <v>39</v>
      </c>
      <c r="C66" s="1">
        <v>44745</v>
      </c>
      <c r="D66" t="s">
        <v>20</v>
      </c>
      <c r="E66" t="s">
        <v>21</v>
      </c>
      <c r="F66" t="s">
        <v>22</v>
      </c>
      <c r="G66" t="s">
        <v>44</v>
      </c>
      <c r="H66">
        <v>36.25</v>
      </c>
      <c r="I66">
        <v>343</v>
      </c>
      <c r="J66">
        <v>12433.75</v>
      </c>
      <c r="K66" t="s">
        <v>31</v>
      </c>
    </row>
    <row r="67" spans="1:11" x14ac:dyDescent="0.35">
      <c r="A67" t="s">
        <v>107</v>
      </c>
      <c r="B67" t="s">
        <v>12</v>
      </c>
      <c r="C67" s="1">
        <v>44887</v>
      </c>
      <c r="D67" t="s">
        <v>27</v>
      </c>
      <c r="E67" t="s">
        <v>28</v>
      </c>
      <c r="F67" t="s">
        <v>29</v>
      </c>
      <c r="G67" t="s">
        <v>30</v>
      </c>
      <c r="H67">
        <v>68.19</v>
      </c>
      <c r="I67">
        <v>594</v>
      </c>
      <c r="J67">
        <v>40504.86</v>
      </c>
      <c r="K67" t="s">
        <v>17</v>
      </c>
    </row>
    <row r="68" spans="1:11" x14ac:dyDescent="0.35">
      <c r="A68" t="s">
        <v>108</v>
      </c>
      <c r="B68" t="s">
        <v>19</v>
      </c>
      <c r="C68" s="1">
        <v>44725</v>
      </c>
      <c r="D68" t="s">
        <v>40</v>
      </c>
      <c r="E68" t="s">
        <v>41</v>
      </c>
      <c r="F68" t="s">
        <v>42</v>
      </c>
      <c r="G68" t="s">
        <v>37</v>
      </c>
      <c r="H68">
        <v>79.34</v>
      </c>
      <c r="I68">
        <v>991</v>
      </c>
      <c r="J68">
        <v>78625.94</v>
      </c>
      <c r="K68" t="s">
        <v>24</v>
      </c>
    </row>
    <row r="69" spans="1:11" x14ac:dyDescent="0.35">
      <c r="A69" t="s">
        <v>109</v>
      </c>
      <c r="B69" t="s">
        <v>26</v>
      </c>
      <c r="C69" s="1">
        <v>44577</v>
      </c>
      <c r="D69" t="s">
        <v>34</v>
      </c>
      <c r="E69" t="s">
        <v>48</v>
      </c>
      <c r="F69" t="s">
        <v>49</v>
      </c>
      <c r="G69" t="s">
        <v>50</v>
      </c>
      <c r="H69">
        <v>89.03</v>
      </c>
      <c r="I69">
        <v>902</v>
      </c>
      <c r="J69">
        <v>80305.06</v>
      </c>
      <c r="K69" t="s">
        <v>31</v>
      </c>
    </row>
    <row r="70" spans="1:11" x14ac:dyDescent="0.35">
      <c r="A70" t="s">
        <v>110</v>
      </c>
      <c r="B70" t="s">
        <v>33</v>
      </c>
      <c r="C70" s="1">
        <v>44691</v>
      </c>
      <c r="D70" t="s">
        <v>13</v>
      </c>
      <c r="E70" t="s">
        <v>14</v>
      </c>
      <c r="F70" t="s">
        <v>15</v>
      </c>
      <c r="G70" t="s">
        <v>16</v>
      </c>
      <c r="H70">
        <v>43.18</v>
      </c>
      <c r="I70">
        <v>365</v>
      </c>
      <c r="J70">
        <v>15760.7</v>
      </c>
      <c r="K70" t="s">
        <v>17</v>
      </c>
    </row>
    <row r="71" spans="1:11" x14ac:dyDescent="0.35">
      <c r="A71" t="s">
        <v>111</v>
      </c>
      <c r="B71" t="s">
        <v>39</v>
      </c>
      <c r="C71" s="1">
        <v>44883</v>
      </c>
      <c r="D71" t="s">
        <v>20</v>
      </c>
      <c r="E71" t="s">
        <v>21</v>
      </c>
      <c r="F71" t="s">
        <v>22</v>
      </c>
      <c r="G71" t="s">
        <v>30</v>
      </c>
      <c r="H71">
        <v>32.33</v>
      </c>
      <c r="I71">
        <v>1112</v>
      </c>
      <c r="J71">
        <v>35950.959999999999</v>
      </c>
      <c r="K71" t="s">
        <v>24</v>
      </c>
    </row>
    <row r="72" spans="1:11" x14ac:dyDescent="0.35">
      <c r="A72" t="s">
        <v>112</v>
      </c>
      <c r="B72" t="s">
        <v>12</v>
      </c>
      <c r="C72" s="1">
        <v>44673</v>
      </c>
      <c r="D72" t="s">
        <v>27</v>
      </c>
      <c r="E72" t="s">
        <v>28</v>
      </c>
      <c r="F72" t="s">
        <v>29</v>
      </c>
      <c r="G72" t="s">
        <v>44</v>
      </c>
      <c r="H72">
        <v>16.39</v>
      </c>
      <c r="I72">
        <v>1173</v>
      </c>
      <c r="J72">
        <v>19225.47</v>
      </c>
      <c r="K72" t="s">
        <v>31</v>
      </c>
    </row>
    <row r="73" spans="1:11" x14ac:dyDescent="0.35">
      <c r="A73" t="s">
        <v>113</v>
      </c>
      <c r="B73" t="s">
        <v>19</v>
      </c>
      <c r="C73" s="1">
        <v>44811</v>
      </c>
      <c r="D73" t="s">
        <v>40</v>
      </c>
      <c r="E73" t="s">
        <v>41</v>
      </c>
      <c r="F73" t="s">
        <v>42</v>
      </c>
      <c r="G73" t="s">
        <v>23</v>
      </c>
      <c r="H73">
        <v>60.77</v>
      </c>
      <c r="I73">
        <v>1018</v>
      </c>
      <c r="J73">
        <v>61863.86</v>
      </c>
      <c r="K73" t="s">
        <v>17</v>
      </c>
    </row>
    <row r="74" spans="1:11" x14ac:dyDescent="0.35">
      <c r="A74" t="s">
        <v>114</v>
      </c>
      <c r="B74" t="s">
        <v>26</v>
      </c>
      <c r="C74" s="1">
        <v>44898</v>
      </c>
      <c r="D74" t="s">
        <v>34</v>
      </c>
      <c r="E74" t="s">
        <v>35</v>
      </c>
      <c r="F74" t="s">
        <v>36</v>
      </c>
      <c r="G74" t="s">
        <v>16</v>
      </c>
      <c r="H74">
        <v>82.89</v>
      </c>
      <c r="I74">
        <v>74</v>
      </c>
      <c r="J74">
        <v>6133.86</v>
      </c>
      <c r="K74" t="s">
        <v>24</v>
      </c>
    </row>
    <row r="75" spans="1:11" x14ac:dyDescent="0.35">
      <c r="A75" t="s">
        <v>115</v>
      </c>
      <c r="B75" t="s">
        <v>33</v>
      </c>
      <c r="C75" s="1">
        <v>44790</v>
      </c>
      <c r="D75" t="s">
        <v>13</v>
      </c>
      <c r="E75" t="s">
        <v>14</v>
      </c>
      <c r="F75" t="s">
        <v>15</v>
      </c>
      <c r="G75" t="s">
        <v>50</v>
      </c>
      <c r="H75">
        <v>20.61</v>
      </c>
      <c r="I75">
        <v>556</v>
      </c>
      <c r="J75">
        <v>11459.16</v>
      </c>
      <c r="K75" t="s">
        <v>31</v>
      </c>
    </row>
    <row r="76" spans="1:11" x14ac:dyDescent="0.35">
      <c r="A76" t="s">
        <v>116</v>
      </c>
      <c r="B76" t="s">
        <v>39</v>
      </c>
      <c r="C76" s="1">
        <v>44617</v>
      </c>
      <c r="D76" t="s">
        <v>20</v>
      </c>
      <c r="E76" t="s">
        <v>21</v>
      </c>
      <c r="F76" t="s">
        <v>22</v>
      </c>
      <c r="G76" t="s">
        <v>44</v>
      </c>
      <c r="H76">
        <v>32.57</v>
      </c>
      <c r="I76">
        <v>650</v>
      </c>
      <c r="J76">
        <v>21170.5</v>
      </c>
      <c r="K76" t="s">
        <v>17</v>
      </c>
    </row>
    <row r="77" spans="1:11" x14ac:dyDescent="0.35">
      <c r="A77" t="s">
        <v>117</v>
      </c>
      <c r="B77" t="s">
        <v>12</v>
      </c>
      <c r="C77" s="1">
        <v>44844</v>
      </c>
      <c r="D77" t="s">
        <v>27</v>
      </c>
      <c r="E77" t="s">
        <v>28</v>
      </c>
      <c r="F77" t="s">
        <v>29</v>
      </c>
      <c r="G77" t="s">
        <v>37</v>
      </c>
      <c r="H77">
        <v>19.649999999999999</v>
      </c>
      <c r="I77">
        <v>1115</v>
      </c>
      <c r="J77">
        <v>21909.75</v>
      </c>
      <c r="K77" t="s">
        <v>24</v>
      </c>
    </row>
    <row r="78" spans="1:11" x14ac:dyDescent="0.35">
      <c r="A78" t="s">
        <v>118</v>
      </c>
      <c r="B78" t="s">
        <v>19</v>
      </c>
      <c r="C78" s="1">
        <v>44707</v>
      </c>
      <c r="D78" t="s">
        <v>40</v>
      </c>
      <c r="E78" t="s">
        <v>41</v>
      </c>
      <c r="F78" t="s">
        <v>42</v>
      </c>
      <c r="G78" t="s">
        <v>30</v>
      </c>
      <c r="H78">
        <v>72.97</v>
      </c>
      <c r="I78">
        <v>1063</v>
      </c>
      <c r="J78">
        <v>77567.11</v>
      </c>
      <c r="K78" t="s">
        <v>31</v>
      </c>
    </row>
    <row r="79" spans="1:11" x14ac:dyDescent="0.35">
      <c r="A79" t="s">
        <v>119</v>
      </c>
      <c r="B79" t="s">
        <v>26</v>
      </c>
      <c r="C79" s="1">
        <v>44784</v>
      </c>
      <c r="D79" t="s">
        <v>34</v>
      </c>
      <c r="E79" t="s">
        <v>48</v>
      </c>
      <c r="F79" t="s">
        <v>49</v>
      </c>
      <c r="G79" t="s">
        <v>16</v>
      </c>
      <c r="H79">
        <v>44.58</v>
      </c>
      <c r="I79">
        <v>787</v>
      </c>
      <c r="J79">
        <v>35084.46</v>
      </c>
      <c r="K79" t="s">
        <v>17</v>
      </c>
    </row>
    <row r="80" spans="1:11" x14ac:dyDescent="0.35">
      <c r="A80" t="s">
        <v>120</v>
      </c>
      <c r="B80" t="s">
        <v>33</v>
      </c>
      <c r="C80" s="1">
        <v>44931</v>
      </c>
      <c r="D80" t="s">
        <v>13</v>
      </c>
      <c r="E80" t="s">
        <v>14</v>
      </c>
      <c r="F80" t="s">
        <v>15</v>
      </c>
      <c r="G80" t="s">
        <v>23</v>
      </c>
      <c r="H80">
        <v>74.72</v>
      </c>
      <c r="I80">
        <v>1052</v>
      </c>
      <c r="J80">
        <v>78605.440000000002</v>
      </c>
      <c r="K80" t="s">
        <v>24</v>
      </c>
    </row>
    <row r="81" spans="1:11" x14ac:dyDescent="0.35">
      <c r="A81" t="s">
        <v>121</v>
      </c>
      <c r="B81" t="s">
        <v>39</v>
      </c>
      <c r="C81" s="1">
        <v>44649</v>
      </c>
      <c r="D81" t="s">
        <v>20</v>
      </c>
      <c r="E81" t="s">
        <v>21</v>
      </c>
      <c r="F81" t="s">
        <v>22</v>
      </c>
      <c r="G81" t="s">
        <v>30</v>
      </c>
      <c r="H81">
        <v>37.44</v>
      </c>
      <c r="I81">
        <v>226</v>
      </c>
      <c r="J81">
        <v>8461.44</v>
      </c>
      <c r="K81" t="s">
        <v>31</v>
      </c>
    </row>
    <row r="82" spans="1:11" x14ac:dyDescent="0.35">
      <c r="A82" t="s">
        <v>122</v>
      </c>
      <c r="B82" t="s">
        <v>12</v>
      </c>
      <c r="C82" s="1">
        <v>44756</v>
      </c>
      <c r="D82" t="s">
        <v>27</v>
      </c>
      <c r="E82" t="s">
        <v>28</v>
      </c>
      <c r="F82" t="s">
        <v>29</v>
      </c>
      <c r="G82" t="s">
        <v>37</v>
      </c>
      <c r="H82">
        <v>25.64</v>
      </c>
      <c r="I82">
        <v>1223</v>
      </c>
      <c r="J82">
        <v>31357.72</v>
      </c>
      <c r="K82" t="s">
        <v>17</v>
      </c>
    </row>
    <row r="83" spans="1:11" x14ac:dyDescent="0.35">
      <c r="A83" t="s">
        <v>123</v>
      </c>
      <c r="B83" t="s">
        <v>19</v>
      </c>
      <c r="C83" s="1">
        <v>44913</v>
      </c>
      <c r="D83" t="s">
        <v>40</v>
      </c>
      <c r="E83" t="s">
        <v>41</v>
      </c>
      <c r="F83" t="s">
        <v>42</v>
      </c>
      <c r="G83" t="s">
        <v>44</v>
      </c>
      <c r="H83">
        <v>65.260000000000005</v>
      </c>
      <c r="I83">
        <v>1077</v>
      </c>
      <c r="J83">
        <v>70285.02</v>
      </c>
      <c r="K83" t="s">
        <v>24</v>
      </c>
    </row>
    <row r="84" spans="1:11" x14ac:dyDescent="0.35">
      <c r="A84" t="s">
        <v>124</v>
      </c>
      <c r="B84" t="s">
        <v>26</v>
      </c>
      <c r="C84" s="1">
        <v>44601</v>
      </c>
      <c r="D84" t="s">
        <v>34</v>
      </c>
      <c r="E84" t="s">
        <v>35</v>
      </c>
      <c r="F84" t="s">
        <v>36</v>
      </c>
      <c r="G84" t="s">
        <v>16</v>
      </c>
      <c r="H84">
        <v>22.27</v>
      </c>
      <c r="I84">
        <v>680</v>
      </c>
      <c r="J84">
        <v>15143.6</v>
      </c>
      <c r="K84" t="s">
        <v>31</v>
      </c>
    </row>
    <row r="85" spans="1:11" x14ac:dyDescent="0.35">
      <c r="A85" t="s">
        <v>125</v>
      </c>
      <c r="B85" t="s">
        <v>33</v>
      </c>
      <c r="C85" s="1">
        <v>44715</v>
      </c>
      <c r="D85" t="s">
        <v>13</v>
      </c>
      <c r="E85" t="s">
        <v>14</v>
      </c>
      <c r="F85" t="s">
        <v>15</v>
      </c>
      <c r="G85" t="s">
        <v>23</v>
      </c>
      <c r="H85">
        <v>54.64</v>
      </c>
      <c r="I85">
        <v>251</v>
      </c>
      <c r="J85">
        <v>13714.64</v>
      </c>
      <c r="K85" t="s">
        <v>17</v>
      </c>
    </row>
    <row r="86" spans="1:11" x14ac:dyDescent="0.35">
      <c r="A86" t="s">
        <v>126</v>
      </c>
      <c r="B86" t="s">
        <v>39</v>
      </c>
      <c r="C86" s="1">
        <v>44862</v>
      </c>
      <c r="D86" t="s">
        <v>20</v>
      </c>
      <c r="E86" t="s">
        <v>21</v>
      </c>
      <c r="F86" t="s">
        <v>22</v>
      </c>
      <c r="G86" t="s">
        <v>50</v>
      </c>
      <c r="H86">
        <v>94.18</v>
      </c>
      <c r="I86">
        <v>1117</v>
      </c>
      <c r="J86">
        <v>105199.06</v>
      </c>
      <c r="K86" t="s">
        <v>24</v>
      </c>
    </row>
    <row r="87" spans="1:11" x14ac:dyDescent="0.35">
      <c r="A87" t="s">
        <v>127</v>
      </c>
      <c r="B87" t="s">
        <v>12</v>
      </c>
      <c r="C87" s="1">
        <v>44646</v>
      </c>
      <c r="D87" t="s">
        <v>27</v>
      </c>
      <c r="E87" t="s">
        <v>28</v>
      </c>
      <c r="F87" t="s">
        <v>29</v>
      </c>
      <c r="G87" t="s">
        <v>30</v>
      </c>
      <c r="H87">
        <v>16.39</v>
      </c>
      <c r="I87">
        <v>812</v>
      </c>
      <c r="J87">
        <v>13308.68</v>
      </c>
      <c r="K87" t="s">
        <v>31</v>
      </c>
    </row>
    <row r="88" spans="1:11" x14ac:dyDescent="0.35">
      <c r="A88" t="s">
        <v>128</v>
      </c>
      <c r="B88" t="s">
        <v>19</v>
      </c>
      <c r="C88" s="1">
        <v>44886</v>
      </c>
      <c r="D88" t="s">
        <v>40</v>
      </c>
      <c r="E88" t="s">
        <v>41</v>
      </c>
      <c r="F88" t="s">
        <v>42</v>
      </c>
      <c r="G88" t="s">
        <v>44</v>
      </c>
      <c r="H88">
        <v>81.52</v>
      </c>
      <c r="I88">
        <v>497</v>
      </c>
      <c r="J88">
        <v>40515.440000000002</v>
      </c>
      <c r="K88" t="s">
        <v>17</v>
      </c>
    </row>
    <row r="89" spans="1:11" x14ac:dyDescent="0.35">
      <c r="A89" t="s">
        <v>129</v>
      </c>
      <c r="B89" t="s">
        <v>26</v>
      </c>
      <c r="C89" s="1">
        <v>44698</v>
      </c>
      <c r="D89" t="s">
        <v>34</v>
      </c>
      <c r="E89" t="s">
        <v>48</v>
      </c>
      <c r="F89" t="s">
        <v>49</v>
      </c>
      <c r="G89" t="s">
        <v>37</v>
      </c>
      <c r="H89">
        <v>48.39</v>
      </c>
      <c r="I89">
        <v>927</v>
      </c>
      <c r="J89">
        <v>44857.53</v>
      </c>
      <c r="K89" t="s">
        <v>24</v>
      </c>
    </row>
    <row r="90" spans="1:11" x14ac:dyDescent="0.35">
      <c r="A90" t="s">
        <v>130</v>
      </c>
      <c r="B90" t="s">
        <v>33</v>
      </c>
      <c r="C90" s="1">
        <v>44778</v>
      </c>
      <c r="D90" t="s">
        <v>13</v>
      </c>
      <c r="E90" t="s">
        <v>14</v>
      </c>
      <c r="F90" t="s">
        <v>15</v>
      </c>
      <c r="G90" t="s">
        <v>16</v>
      </c>
      <c r="H90">
        <v>38.94</v>
      </c>
      <c r="I90">
        <v>1103</v>
      </c>
      <c r="J90">
        <v>42950.82</v>
      </c>
      <c r="K90" t="s">
        <v>31</v>
      </c>
    </row>
    <row r="91" spans="1:11" x14ac:dyDescent="0.35">
      <c r="A91" t="s">
        <v>131</v>
      </c>
      <c r="B91" t="s">
        <v>39</v>
      </c>
      <c r="C91" s="1">
        <v>44613</v>
      </c>
      <c r="D91" t="s">
        <v>20</v>
      </c>
      <c r="E91" t="s">
        <v>21</v>
      </c>
      <c r="F91" t="s">
        <v>22</v>
      </c>
      <c r="G91" t="s">
        <v>23</v>
      </c>
      <c r="H91">
        <v>65.11</v>
      </c>
      <c r="I91">
        <v>736</v>
      </c>
      <c r="J91">
        <v>47920.959999999999</v>
      </c>
      <c r="K91" t="s">
        <v>17</v>
      </c>
    </row>
    <row r="92" spans="1:11" x14ac:dyDescent="0.35">
      <c r="A92" t="s">
        <v>132</v>
      </c>
      <c r="B92" t="s">
        <v>12</v>
      </c>
      <c r="C92" s="1">
        <v>44820</v>
      </c>
      <c r="D92" t="s">
        <v>27</v>
      </c>
      <c r="E92" t="s">
        <v>28</v>
      </c>
      <c r="F92" t="s">
        <v>29</v>
      </c>
      <c r="G92" t="s">
        <v>30</v>
      </c>
      <c r="H92">
        <v>85.95</v>
      </c>
      <c r="I92">
        <v>847</v>
      </c>
      <c r="J92">
        <v>72799.649999999994</v>
      </c>
      <c r="K92" t="s">
        <v>24</v>
      </c>
    </row>
    <row r="93" spans="1:11" x14ac:dyDescent="0.35">
      <c r="A93" t="s">
        <v>133</v>
      </c>
      <c r="B93" t="s">
        <v>19</v>
      </c>
      <c r="C93" s="1">
        <v>44573</v>
      </c>
      <c r="D93" t="s">
        <v>40</v>
      </c>
      <c r="E93" t="s">
        <v>41</v>
      </c>
      <c r="F93" t="s">
        <v>42</v>
      </c>
      <c r="G93" t="s">
        <v>23</v>
      </c>
      <c r="H93">
        <v>31.41</v>
      </c>
      <c r="I93">
        <v>130</v>
      </c>
      <c r="J93">
        <v>4083.3</v>
      </c>
      <c r="K93" t="s">
        <v>31</v>
      </c>
    </row>
    <row r="94" spans="1:11" x14ac:dyDescent="0.35">
      <c r="A94" t="s">
        <v>134</v>
      </c>
      <c r="B94" t="s">
        <v>26</v>
      </c>
      <c r="C94" s="1">
        <v>44748</v>
      </c>
      <c r="D94" t="s">
        <v>34</v>
      </c>
      <c r="E94" t="s">
        <v>35</v>
      </c>
      <c r="F94" t="s">
        <v>36</v>
      </c>
      <c r="G94" t="s">
        <v>16</v>
      </c>
      <c r="H94">
        <v>63.84</v>
      </c>
      <c r="I94">
        <v>1001</v>
      </c>
      <c r="J94">
        <v>63903.839999999997</v>
      </c>
      <c r="K94" t="s">
        <v>17</v>
      </c>
    </row>
    <row r="95" spans="1:11" x14ac:dyDescent="0.35">
      <c r="A95" t="s">
        <v>135</v>
      </c>
      <c r="B95" t="s">
        <v>33</v>
      </c>
      <c r="C95" s="1">
        <v>44904</v>
      </c>
      <c r="D95" t="s">
        <v>13</v>
      </c>
      <c r="E95" t="s">
        <v>14</v>
      </c>
      <c r="F95" t="s">
        <v>15</v>
      </c>
      <c r="G95" t="s">
        <v>50</v>
      </c>
      <c r="H95">
        <v>30.47</v>
      </c>
      <c r="I95">
        <v>699</v>
      </c>
      <c r="J95">
        <v>21298.53</v>
      </c>
      <c r="K95" t="s">
        <v>24</v>
      </c>
    </row>
    <row r="96" spans="1:11" x14ac:dyDescent="0.35">
      <c r="A96" t="s">
        <v>136</v>
      </c>
      <c r="B96" t="s">
        <v>39</v>
      </c>
      <c r="C96" s="1">
        <v>44604</v>
      </c>
      <c r="D96" t="s">
        <v>20</v>
      </c>
      <c r="E96" t="s">
        <v>21</v>
      </c>
      <c r="F96" t="s">
        <v>22</v>
      </c>
      <c r="G96" t="s">
        <v>44</v>
      </c>
      <c r="H96">
        <v>63.19</v>
      </c>
      <c r="I96">
        <v>367</v>
      </c>
      <c r="J96">
        <v>23190.73</v>
      </c>
      <c r="K96" t="s">
        <v>31</v>
      </c>
    </row>
    <row r="97" spans="1:11" x14ac:dyDescent="0.35">
      <c r="A97" t="s">
        <v>137</v>
      </c>
      <c r="B97" t="s">
        <v>12</v>
      </c>
      <c r="C97" s="1">
        <v>44740</v>
      </c>
      <c r="D97" t="s">
        <v>27</v>
      </c>
      <c r="E97" t="s">
        <v>28</v>
      </c>
      <c r="F97" t="s">
        <v>29</v>
      </c>
      <c r="G97" t="s">
        <v>30</v>
      </c>
      <c r="H97">
        <v>77.78</v>
      </c>
      <c r="I97">
        <v>475</v>
      </c>
      <c r="J97">
        <v>36945.5</v>
      </c>
      <c r="K97" t="s">
        <v>17</v>
      </c>
    </row>
    <row r="98" spans="1:11" x14ac:dyDescent="0.35">
      <c r="A98" t="s">
        <v>138</v>
      </c>
      <c r="B98" t="s">
        <v>19</v>
      </c>
      <c r="C98" s="1">
        <v>44879</v>
      </c>
      <c r="D98" t="s">
        <v>40</v>
      </c>
      <c r="E98" t="s">
        <v>41</v>
      </c>
      <c r="F98" t="s">
        <v>42</v>
      </c>
      <c r="G98" t="s">
        <v>37</v>
      </c>
      <c r="H98">
        <v>21.92</v>
      </c>
      <c r="I98">
        <v>810</v>
      </c>
      <c r="J98">
        <v>17755.2</v>
      </c>
      <c r="K98" t="s">
        <v>24</v>
      </c>
    </row>
    <row r="99" spans="1:11" x14ac:dyDescent="0.35">
      <c r="A99" t="s">
        <v>139</v>
      </c>
      <c r="B99" t="s">
        <v>26</v>
      </c>
      <c r="C99" s="1">
        <v>44668</v>
      </c>
      <c r="D99" t="s">
        <v>34</v>
      </c>
      <c r="E99" t="s">
        <v>48</v>
      </c>
      <c r="F99" t="s">
        <v>49</v>
      </c>
      <c r="G99" t="s">
        <v>16</v>
      </c>
      <c r="H99">
        <v>73.97</v>
      </c>
      <c r="I99">
        <v>1034</v>
      </c>
      <c r="J99">
        <v>76484.98</v>
      </c>
      <c r="K99" t="s">
        <v>31</v>
      </c>
    </row>
    <row r="100" spans="1:11" x14ac:dyDescent="0.35">
      <c r="A100" t="s">
        <v>140</v>
      </c>
      <c r="B100" t="s">
        <v>33</v>
      </c>
      <c r="C100" s="1">
        <v>44805</v>
      </c>
      <c r="D100" t="s">
        <v>13</v>
      </c>
      <c r="E100" t="s">
        <v>14</v>
      </c>
      <c r="F100" t="s">
        <v>15</v>
      </c>
      <c r="G100" t="s">
        <v>30</v>
      </c>
      <c r="H100">
        <v>34.46</v>
      </c>
      <c r="I100">
        <v>832</v>
      </c>
      <c r="J100">
        <v>28670.720000000001</v>
      </c>
      <c r="K100" t="s">
        <v>17</v>
      </c>
    </row>
    <row r="101" spans="1:11" x14ac:dyDescent="0.35">
      <c r="A101" t="s">
        <v>141</v>
      </c>
      <c r="B101" t="s">
        <v>39</v>
      </c>
      <c r="C101" s="1">
        <v>44944</v>
      </c>
      <c r="D101" t="s">
        <v>20</v>
      </c>
      <c r="E101" t="s">
        <v>21</v>
      </c>
      <c r="F101" t="s">
        <v>22</v>
      </c>
      <c r="G101" t="s">
        <v>23</v>
      </c>
      <c r="H101">
        <v>84.87</v>
      </c>
      <c r="I101">
        <v>1010</v>
      </c>
      <c r="J101">
        <v>85718.7</v>
      </c>
      <c r="K101" t="s">
        <v>24</v>
      </c>
    </row>
    <row r="102" spans="1:11" x14ac:dyDescent="0.35">
      <c r="A102" t="s">
        <v>142</v>
      </c>
      <c r="B102" t="s">
        <v>12</v>
      </c>
      <c r="C102" s="1">
        <v>44797</v>
      </c>
      <c r="D102" t="s">
        <v>27</v>
      </c>
      <c r="E102" t="s">
        <v>28</v>
      </c>
      <c r="F102" t="s">
        <v>29</v>
      </c>
      <c r="G102" t="s">
        <v>30</v>
      </c>
      <c r="H102">
        <v>15.89</v>
      </c>
      <c r="I102">
        <v>245</v>
      </c>
      <c r="J102">
        <v>3893.05</v>
      </c>
      <c r="K102" t="s">
        <v>31</v>
      </c>
    </row>
    <row r="103" spans="1:11" x14ac:dyDescent="0.35">
      <c r="A103" t="s">
        <v>143</v>
      </c>
      <c r="B103" t="s">
        <v>19</v>
      </c>
      <c r="C103" s="1">
        <v>44632</v>
      </c>
      <c r="D103" t="s">
        <v>40</v>
      </c>
      <c r="E103" t="s">
        <v>41</v>
      </c>
      <c r="F103" t="s">
        <v>42</v>
      </c>
      <c r="G103" t="s">
        <v>50</v>
      </c>
      <c r="H103">
        <v>78.48</v>
      </c>
      <c r="I103">
        <v>74</v>
      </c>
      <c r="J103">
        <v>5807.52</v>
      </c>
      <c r="K103" t="s">
        <v>17</v>
      </c>
    </row>
    <row r="104" spans="1:11" x14ac:dyDescent="0.35">
      <c r="A104" t="s">
        <v>144</v>
      </c>
      <c r="B104" t="s">
        <v>26</v>
      </c>
      <c r="C104" s="1">
        <v>44580</v>
      </c>
      <c r="D104" t="s">
        <v>34</v>
      </c>
      <c r="E104" t="s">
        <v>35</v>
      </c>
      <c r="F104" t="s">
        <v>36</v>
      </c>
      <c r="G104" t="s">
        <v>37</v>
      </c>
      <c r="H104">
        <v>55.93</v>
      </c>
      <c r="I104">
        <v>317</v>
      </c>
      <c r="J104">
        <v>17729.810000000001</v>
      </c>
      <c r="K104" t="s">
        <v>24</v>
      </c>
    </row>
    <row r="105" spans="1:11" x14ac:dyDescent="0.35">
      <c r="A105" t="s">
        <v>145</v>
      </c>
      <c r="B105" t="s">
        <v>33</v>
      </c>
      <c r="C105" s="1">
        <v>44850</v>
      </c>
      <c r="D105" t="s">
        <v>13</v>
      </c>
      <c r="E105" t="s">
        <v>14</v>
      </c>
      <c r="F105" t="s">
        <v>15</v>
      </c>
      <c r="G105" t="s">
        <v>44</v>
      </c>
      <c r="H105">
        <v>31.42</v>
      </c>
      <c r="I105">
        <v>1141</v>
      </c>
      <c r="J105">
        <v>35850.22</v>
      </c>
      <c r="K105" t="s">
        <v>31</v>
      </c>
    </row>
    <row r="106" spans="1:11" x14ac:dyDescent="0.35">
      <c r="A106" t="s">
        <v>146</v>
      </c>
      <c r="B106" t="s">
        <v>39</v>
      </c>
      <c r="C106" s="1">
        <v>44704</v>
      </c>
      <c r="D106" t="s">
        <v>20</v>
      </c>
      <c r="E106" t="s">
        <v>21</v>
      </c>
      <c r="F106" t="s">
        <v>22</v>
      </c>
      <c r="G106" t="s">
        <v>30</v>
      </c>
      <c r="H106">
        <v>73.64</v>
      </c>
      <c r="I106">
        <v>1154</v>
      </c>
      <c r="J106">
        <v>84980.56</v>
      </c>
      <c r="K106" t="s">
        <v>17</v>
      </c>
    </row>
    <row r="107" spans="1:11" x14ac:dyDescent="0.35">
      <c r="A107" t="s">
        <v>147</v>
      </c>
      <c r="B107" t="s">
        <v>12</v>
      </c>
      <c r="C107" s="1">
        <v>44900</v>
      </c>
      <c r="D107" t="s">
        <v>27</v>
      </c>
      <c r="E107" t="s">
        <v>28</v>
      </c>
      <c r="F107" t="s">
        <v>29</v>
      </c>
      <c r="G107" t="s">
        <v>44</v>
      </c>
      <c r="H107">
        <v>56.66</v>
      </c>
      <c r="I107">
        <v>157</v>
      </c>
      <c r="J107">
        <v>8895.6200000000008</v>
      </c>
      <c r="K107" t="s">
        <v>24</v>
      </c>
    </row>
    <row r="108" spans="1:11" x14ac:dyDescent="0.35">
      <c r="A108" t="s">
        <v>148</v>
      </c>
      <c r="B108" t="s">
        <v>19</v>
      </c>
      <c r="C108" s="1">
        <v>44733</v>
      </c>
      <c r="D108" t="s">
        <v>40</v>
      </c>
      <c r="E108" t="s">
        <v>41</v>
      </c>
      <c r="F108" t="s">
        <v>42</v>
      </c>
      <c r="G108" t="s">
        <v>30</v>
      </c>
      <c r="H108">
        <v>40.340000000000003</v>
      </c>
      <c r="I108">
        <v>754</v>
      </c>
      <c r="J108">
        <v>30416.36</v>
      </c>
      <c r="K108" t="s">
        <v>31</v>
      </c>
    </row>
    <row r="109" spans="1:11" x14ac:dyDescent="0.35">
      <c r="A109" t="s">
        <v>149</v>
      </c>
      <c r="B109" t="s">
        <v>26</v>
      </c>
      <c r="C109" s="1">
        <v>44870</v>
      </c>
      <c r="D109" t="s">
        <v>34</v>
      </c>
      <c r="E109" t="s">
        <v>48</v>
      </c>
      <c r="F109" t="s">
        <v>49</v>
      </c>
      <c r="G109" t="s">
        <v>23</v>
      </c>
      <c r="H109">
        <v>74.760000000000005</v>
      </c>
      <c r="I109">
        <v>741</v>
      </c>
      <c r="J109">
        <v>55397.16</v>
      </c>
      <c r="K109" t="s">
        <v>17</v>
      </c>
    </row>
    <row r="110" spans="1:11" x14ac:dyDescent="0.35">
      <c r="A110" t="s">
        <v>150</v>
      </c>
      <c r="B110" t="s">
        <v>33</v>
      </c>
      <c r="C110" s="1">
        <v>44676</v>
      </c>
      <c r="D110" t="s">
        <v>13</v>
      </c>
      <c r="E110" t="s">
        <v>14</v>
      </c>
      <c r="F110" t="s">
        <v>15</v>
      </c>
      <c r="G110" t="s">
        <v>16</v>
      </c>
      <c r="H110">
        <v>31.48</v>
      </c>
      <c r="I110">
        <v>874</v>
      </c>
      <c r="J110">
        <v>27513.52</v>
      </c>
      <c r="K110" t="s">
        <v>24</v>
      </c>
    </row>
    <row r="111" spans="1:11" x14ac:dyDescent="0.35">
      <c r="A111" t="s">
        <v>151</v>
      </c>
      <c r="B111" t="s">
        <v>39</v>
      </c>
      <c r="C111" s="1">
        <v>44802</v>
      </c>
      <c r="D111" t="s">
        <v>20</v>
      </c>
      <c r="E111" t="s">
        <v>21</v>
      </c>
      <c r="F111" t="s">
        <v>22</v>
      </c>
      <c r="G111" t="s">
        <v>30</v>
      </c>
      <c r="H111">
        <v>59.66</v>
      </c>
      <c r="I111">
        <v>1059</v>
      </c>
      <c r="J111">
        <v>63179.94</v>
      </c>
      <c r="K111" t="s">
        <v>31</v>
      </c>
    </row>
    <row r="112" spans="1:11" x14ac:dyDescent="0.35">
      <c r="A112" t="s">
        <v>152</v>
      </c>
      <c r="B112" t="s">
        <v>12</v>
      </c>
      <c r="C112" s="1">
        <v>44607</v>
      </c>
      <c r="D112" t="s">
        <v>27</v>
      </c>
      <c r="E112" t="s">
        <v>28</v>
      </c>
      <c r="F112" t="s">
        <v>29</v>
      </c>
      <c r="G112" t="s">
        <v>37</v>
      </c>
      <c r="H112">
        <v>15.72</v>
      </c>
      <c r="I112">
        <v>742</v>
      </c>
      <c r="J112">
        <v>11664.24</v>
      </c>
      <c r="K112" t="s">
        <v>17</v>
      </c>
    </row>
    <row r="113" spans="1:11" x14ac:dyDescent="0.35">
      <c r="A113" t="s">
        <v>153</v>
      </c>
      <c r="B113" t="s">
        <v>19</v>
      </c>
      <c r="C113" s="1">
        <v>44807</v>
      </c>
      <c r="D113" t="s">
        <v>40</v>
      </c>
      <c r="E113" t="s">
        <v>41</v>
      </c>
      <c r="F113" t="s">
        <v>42</v>
      </c>
      <c r="G113" t="s">
        <v>30</v>
      </c>
      <c r="H113">
        <v>43.55</v>
      </c>
      <c r="I113">
        <v>1168</v>
      </c>
      <c r="J113">
        <v>50866.400000000001</v>
      </c>
      <c r="K113" t="s">
        <v>24</v>
      </c>
    </row>
    <row r="114" spans="1:11" x14ac:dyDescent="0.35">
      <c r="A114" t="s">
        <v>154</v>
      </c>
      <c r="B114" t="s">
        <v>26</v>
      </c>
      <c r="C114" s="1">
        <v>44894</v>
      </c>
      <c r="D114" t="s">
        <v>34</v>
      </c>
      <c r="E114" t="s">
        <v>35</v>
      </c>
      <c r="F114" t="s">
        <v>36</v>
      </c>
      <c r="G114" t="s">
        <v>50</v>
      </c>
      <c r="H114">
        <v>69.34</v>
      </c>
      <c r="I114">
        <v>394</v>
      </c>
      <c r="J114">
        <v>27319.96</v>
      </c>
      <c r="K114" t="s">
        <v>31</v>
      </c>
    </row>
    <row r="115" spans="1:11" x14ac:dyDescent="0.35">
      <c r="A115" t="s">
        <v>155</v>
      </c>
      <c r="B115" t="s">
        <v>33</v>
      </c>
      <c r="C115" s="1">
        <v>44695</v>
      </c>
      <c r="D115" t="s">
        <v>13</v>
      </c>
      <c r="E115" t="s">
        <v>14</v>
      </c>
      <c r="F115" t="s">
        <v>15</v>
      </c>
      <c r="G115" t="s">
        <v>44</v>
      </c>
      <c r="H115">
        <v>87.02</v>
      </c>
      <c r="I115">
        <v>531</v>
      </c>
      <c r="J115">
        <v>46207.62</v>
      </c>
      <c r="K115" t="s">
        <v>17</v>
      </c>
    </row>
    <row r="116" spans="1:11" x14ac:dyDescent="0.35">
      <c r="A116" t="s">
        <v>156</v>
      </c>
      <c r="B116" t="s">
        <v>39</v>
      </c>
      <c r="C116" s="1">
        <v>44599</v>
      </c>
      <c r="D116" t="s">
        <v>20</v>
      </c>
      <c r="E116" t="s">
        <v>21</v>
      </c>
      <c r="F116" t="s">
        <v>22</v>
      </c>
      <c r="G116" t="s">
        <v>30</v>
      </c>
      <c r="H116">
        <v>29.44</v>
      </c>
      <c r="I116">
        <v>456</v>
      </c>
      <c r="J116">
        <v>13424.64</v>
      </c>
      <c r="K116" t="s">
        <v>24</v>
      </c>
    </row>
    <row r="117" spans="1:11" x14ac:dyDescent="0.35">
      <c r="A117" t="s">
        <v>157</v>
      </c>
      <c r="B117" t="s">
        <v>12</v>
      </c>
      <c r="C117" s="1">
        <v>44830</v>
      </c>
      <c r="D117" t="s">
        <v>27</v>
      </c>
      <c r="E117" t="s">
        <v>28</v>
      </c>
      <c r="F117" t="s">
        <v>29</v>
      </c>
      <c r="G117" t="s">
        <v>23</v>
      </c>
      <c r="H117">
        <v>22.32</v>
      </c>
      <c r="I117">
        <v>932</v>
      </c>
      <c r="J117">
        <v>20802.240000000002</v>
      </c>
      <c r="K117" t="s">
        <v>31</v>
      </c>
    </row>
    <row r="118" spans="1:11" x14ac:dyDescent="0.35">
      <c r="A118" t="s">
        <v>158</v>
      </c>
      <c r="B118" t="s">
        <v>19</v>
      </c>
      <c r="C118" s="1">
        <v>44874</v>
      </c>
      <c r="D118" t="s">
        <v>40</v>
      </c>
      <c r="E118" t="s">
        <v>41</v>
      </c>
      <c r="F118" t="s">
        <v>42</v>
      </c>
      <c r="G118" t="s">
        <v>37</v>
      </c>
      <c r="H118">
        <v>76.430000000000007</v>
      </c>
      <c r="I118">
        <v>922</v>
      </c>
      <c r="J118">
        <v>70468.460000000006</v>
      </c>
      <c r="K118" t="s">
        <v>17</v>
      </c>
    </row>
    <row r="119" spans="1:11" x14ac:dyDescent="0.35">
      <c r="A119" t="s">
        <v>159</v>
      </c>
      <c r="B119" t="s">
        <v>26</v>
      </c>
      <c r="C119" s="1">
        <v>44642</v>
      </c>
      <c r="D119" t="s">
        <v>34</v>
      </c>
      <c r="E119" t="s">
        <v>48</v>
      </c>
      <c r="F119" t="s">
        <v>49</v>
      </c>
      <c r="G119" t="s">
        <v>30</v>
      </c>
      <c r="H119">
        <v>38.93</v>
      </c>
      <c r="I119">
        <v>317</v>
      </c>
      <c r="J119">
        <v>12340.81</v>
      </c>
      <c r="K119" t="s">
        <v>24</v>
      </c>
    </row>
    <row r="120" spans="1:11" x14ac:dyDescent="0.35">
      <c r="A120" t="s">
        <v>160</v>
      </c>
      <c r="B120" t="s">
        <v>33</v>
      </c>
      <c r="C120" s="1">
        <v>44752</v>
      </c>
      <c r="D120" t="s">
        <v>13</v>
      </c>
      <c r="E120" t="s">
        <v>14</v>
      </c>
      <c r="F120" t="s">
        <v>15</v>
      </c>
      <c r="G120" t="s">
        <v>16</v>
      </c>
      <c r="H120">
        <v>64.23</v>
      </c>
      <c r="I120">
        <v>1084</v>
      </c>
      <c r="J120">
        <v>69625.320000000007</v>
      </c>
      <c r="K120" t="s">
        <v>31</v>
      </c>
    </row>
    <row r="121" spans="1:11" x14ac:dyDescent="0.35">
      <c r="A121" t="s">
        <v>161</v>
      </c>
      <c r="B121" t="s">
        <v>39</v>
      </c>
      <c r="C121" s="1">
        <v>44867</v>
      </c>
      <c r="D121" t="s">
        <v>20</v>
      </c>
      <c r="E121" t="s">
        <v>21</v>
      </c>
      <c r="F121" t="s">
        <v>22</v>
      </c>
      <c r="G121" t="s">
        <v>23</v>
      </c>
      <c r="H121">
        <v>28.97</v>
      </c>
      <c r="I121">
        <v>697</v>
      </c>
      <c r="J121">
        <v>20192.09</v>
      </c>
      <c r="K121" t="s">
        <v>17</v>
      </c>
    </row>
    <row r="122" spans="1:11" x14ac:dyDescent="0.35">
      <c r="A122" t="s">
        <v>162</v>
      </c>
      <c r="B122" t="s">
        <v>12</v>
      </c>
      <c r="C122" s="1">
        <v>44665</v>
      </c>
      <c r="D122" t="s">
        <v>27</v>
      </c>
      <c r="E122" t="s">
        <v>28</v>
      </c>
      <c r="F122" t="s">
        <v>29</v>
      </c>
      <c r="G122" t="s">
        <v>37</v>
      </c>
      <c r="H122">
        <v>78.55</v>
      </c>
      <c r="I122">
        <v>808</v>
      </c>
      <c r="J122">
        <v>63468.4</v>
      </c>
      <c r="K122" t="s">
        <v>24</v>
      </c>
    </row>
    <row r="123" spans="1:11" x14ac:dyDescent="0.35">
      <c r="A123" t="s">
        <v>163</v>
      </c>
      <c r="B123" t="s">
        <v>19</v>
      </c>
      <c r="C123" s="1">
        <v>44780</v>
      </c>
      <c r="D123" t="s">
        <v>40</v>
      </c>
      <c r="E123" t="s">
        <v>41</v>
      </c>
      <c r="F123" t="s">
        <v>42</v>
      </c>
      <c r="G123" t="s">
        <v>16</v>
      </c>
      <c r="H123">
        <v>42.17</v>
      </c>
      <c r="I123">
        <v>186</v>
      </c>
      <c r="J123">
        <v>7843.62</v>
      </c>
      <c r="K123" t="s">
        <v>31</v>
      </c>
    </row>
    <row r="124" spans="1:11" x14ac:dyDescent="0.35">
      <c r="A124" t="s">
        <v>164</v>
      </c>
      <c r="B124" t="s">
        <v>26</v>
      </c>
      <c r="C124" s="1">
        <v>44921</v>
      </c>
      <c r="D124" t="s">
        <v>34</v>
      </c>
      <c r="E124" t="s">
        <v>35</v>
      </c>
      <c r="F124" t="s">
        <v>36</v>
      </c>
      <c r="G124" t="s">
        <v>50</v>
      </c>
      <c r="H124">
        <v>16.079999999999998</v>
      </c>
      <c r="I124">
        <v>695</v>
      </c>
      <c r="J124">
        <v>11175.6</v>
      </c>
      <c r="K124" t="s">
        <v>17</v>
      </c>
    </row>
    <row r="125" spans="1:11" x14ac:dyDescent="0.35">
      <c r="A125" t="s">
        <v>165</v>
      </c>
      <c r="B125" t="s">
        <v>33</v>
      </c>
      <c r="C125" s="1">
        <v>44721</v>
      </c>
      <c r="D125" t="s">
        <v>13</v>
      </c>
      <c r="E125" t="s">
        <v>14</v>
      </c>
      <c r="F125" t="s">
        <v>15</v>
      </c>
      <c r="G125" t="s">
        <v>44</v>
      </c>
      <c r="H125">
        <v>72.47</v>
      </c>
      <c r="I125">
        <v>565</v>
      </c>
      <c r="J125">
        <v>40945.550000000003</v>
      </c>
      <c r="K125" t="s">
        <v>24</v>
      </c>
    </row>
    <row r="126" spans="1:11" x14ac:dyDescent="0.35">
      <c r="A126" t="s">
        <v>166</v>
      </c>
      <c r="B126" t="s">
        <v>39</v>
      </c>
      <c r="C126" s="1">
        <v>44619</v>
      </c>
      <c r="D126" t="s">
        <v>20</v>
      </c>
      <c r="E126" t="s">
        <v>21</v>
      </c>
      <c r="F126" t="s">
        <v>22</v>
      </c>
      <c r="G126" t="s">
        <v>30</v>
      </c>
      <c r="H126">
        <v>31.55</v>
      </c>
      <c r="I126">
        <v>351</v>
      </c>
      <c r="J126">
        <v>11074.05</v>
      </c>
      <c r="K126" t="s">
        <v>31</v>
      </c>
    </row>
    <row r="127" spans="1:11" x14ac:dyDescent="0.35">
      <c r="A127" t="s">
        <v>167</v>
      </c>
      <c r="B127" t="s">
        <v>12</v>
      </c>
      <c r="C127" s="1">
        <v>44837</v>
      </c>
      <c r="D127" t="s">
        <v>27</v>
      </c>
      <c r="E127" t="s">
        <v>28</v>
      </c>
      <c r="F127" t="s">
        <v>29</v>
      </c>
      <c r="G127" t="s">
        <v>44</v>
      </c>
      <c r="H127">
        <v>86.42</v>
      </c>
      <c r="I127">
        <v>570</v>
      </c>
      <c r="J127">
        <v>49259.4</v>
      </c>
      <c r="K127" t="s">
        <v>17</v>
      </c>
    </row>
    <row r="128" spans="1:11" x14ac:dyDescent="0.35">
      <c r="A128" t="s">
        <v>168</v>
      </c>
      <c r="B128" t="s">
        <v>19</v>
      </c>
      <c r="C128" s="1">
        <v>44566</v>
      </c>
      <c r="D128" t="s">
        <v>40</v>
      </c>
      <c r="E128" t="s">
        <v>41</v>
      </c>
      <c r="F128" t="s">
        <v>42</v>
      </c>
      <c r="G128" t="s">
        <v>30</v>
      </c>
      <c r="H128">
        <v>55.66</v>
      </c>
      <c r="I128">
        <v>1037</v>
      </c>
      <c r="J128">
        <v>57719.42</v>
      </c>
      <c r="K128" t="s">
        <v>24</v>
      </c>
    </row>
    <row r="129" spans="1:11" x14ac:dyDescent="0.35">
      <c r="A129" t="s">
        <v>169</v>
      </c>
      <c r="B129" t="s">
        <v>26</v>
      </c>
      <c r="C129" s="1">
        <v>44772</v>
      </c>
      <c r="D129" t="s">
        <v>34</v>
      </c>
      <c r="E129" t="s">
        <v>48</v>
      </c>
      <c r="F129" t="s">
        <v>49</v>
      </c>
      <c r="G129" t="s">
        <v>37</v>
      </c>
      <c r="H129">
        <v>29.33</v>
      </c>
      <c r="I129">
        <v>587</v>
      </c>
      <c r="J129">
        <v>17216.71</v>
      </c>
      <c r="K129" t="s">
        <v>31</v>
      </c>
    </row>
    <row r="130" spans="1:11" x14ac:dyDescent="0.35">
      <c r="A130" t="s">
        <v>170</v>
      </c>
      <c r="B130" t="s">
        <v>33</v>
      </c>
      <c r="C130" s="1">
        <v>44637</v>
      </c>
      <c r="D130" t="s">
        <v>13</v>
      </c>
      <c r="E130" t="s">
        <v>14</v>
      </c>
      <c r="F130" t="s">
        <v>15</v>
      </c>
      <c r="G130" t="s">
        <v>16</v>
      </c>
      <c r="H130">
        <v>47.95</v>
      </c>
      <c r="I130">
        <v>869</v>
      </c>
      <c r="J130">
        <v>41668.550000000003</v>
      </c>
      <c r="K130" t="s">
        <v>17</v>
      </c>
    </row>
    <row r="131" spans="1:11" x14ac:dyDescent="0.35">
      <c r="A131" t="s">
        <v>171</v>
      </c>
      <c r="B131" t="s">
        <v>39</v>
      </c>
      <c r="C131" s="1">
        <v>44884</v>
      </c>
      <c r="D131" t="s">
        <v>20</v>
      </c>
      <c r="E131" t="s">
        <v>21</v>
      </c>
      <c r="F131" t="s">
        <v>22</v>
      </c>
      <c r="G131" t="s">
        <v>23</v>
      </c>
      <c r="H131">
        <v>63.41</v>
      </c>
      <c r="I131">
        <v>1063</v>
      </c>
      <c r="J131">
        <v>67404.83</v>
      </c>
      <c r="K131" t="s">
        <v>24</v>
      </c>
    </row>
    <row r="132" spans="1:11" x14ac:dyDescent="0.35">
      <c r="A132" t="s">
        <v>172</v>
      </c>
      <c r="B132" t="s">
        <v>12</v>
      </c>
      <c r="C132" s="1">
        <v>44688</v>
      </c>
      <c r="D132" t="s">
        <v>27</v>
      </c>
      <c r="E132" t="s">
        <v>28</v>
      </c>
      <c r="F132" t="s">
        <v>29</v>
      </c>
      <c r="G132" t="s">
        <v>30</v>
      </c>
      <c r="H132">
        <v>82.86</v>
      </c>
      <c r="I132">
        <v>568</v>
      </c>
      <c r="J132">
        <v>47064.480000000003</v>
      </c>
      <c r="K132" t="s">
        <v>31</v>
      </c>
    </row>
    <row r="133" spans="1:11" x14ac:dyDescent="0.35">
      <c r="A133" t="s">
        <v>173</v>
      </c>
      <c r="B133" t="s">
        <v>19</v>
      </c>
      <c r="C133" s="1">
        <v>44865</v>
      </c>
      <c r="D133" t="s">
        <v>40</v>
      </c>
      <c r="E133" t="s">
        <v>41</v>
      </c>
      <c r="F133" t="s">
        <v>42</v>
      </c>
      <c r="G133" t="s">
        <v>37</v>
      </c>
      <c r="H133">
        <v>39.51</v>
      </c>
      <c r="I133">
        <v>685</v>
      </c>
      <c r="J133">
        <v>27064.35</v>
      </c>
      <c r="K133" t="s">
        <v>17</v>
      </c>
    </row>
    <row r="134" spans="1:11" x14ac:dyDescent="0.35">
      <c r="A134" t="s">
        <v>174</v>
      </c>
      <c r="B134" t="s">
        <v>26</v>
      </c>
      <c r="C134" s="1">
        <v>44583</v>
      </c>
      <c r="D134" t="s">
        <v>34</v>
      </c>
      <c r="E134" t="s">
        <v>35</v>
      </c>
      <c r="F134" t="s">
        <v>36</v>
      </c>
      <c r="G134" t="s">
        <v>16</v>
      </c>
      <c r="H134">
        <v>29.09</v>
      </c>
      <c r="I134">
        <v>592</v>
      </c>
      <c r="J134">
        <v>17221.28</v>
      </c>
      <c r="K134" t="s">
        <v>24</v>
      </c>
    </row>
    <row r="135" spans="1:11" x14ac:dyDescent="0.35">
      <c r="A135" t="s">
        <v>175</v>
      </c>
      <c r="B135" t="s">
        <v>33</v>
      </c>
      <c r="C135" s="1">
        <v>44726</v>
      </c>
      <c r="D135" t="s">
        <v>13</v>
      </c>
      <c r="E135" t="s">
        <v>14</v>
      </c>
      <c r="F135" t="s">
        <v>15</v>
      </c>
      <c r="G135" t="s">
        <v>44</v>
      </c>
      <c r="H135">
        <v>91.78</v>
      </c>
      <c r="I135">
        <v>423</v>
      </c>
      <c r="J135">
        <v>38822.94</v>
      </c>
      <c r="K135" t="s">
        <v>31</v>
      </c>
    </row>
    <row r="136" spans="1:11" x14ac:dyDescent="0.35">
      <c r="A136" t="s">
        <v>176</v>
      </c>
      <c r="B136" t="s">
        <v>39</v>
      </c>
      <c r="C136" s="1">
        <v>44878</v>
      </c>
      <c r="D136" t="s">
        <v>20</v>
      </c>
      <c r="E136" t="s">
        <v>21</v>
      </c>
      <c r="F136" t="s">
        <v>22</v>
      </c>
      <c r="G136" t="s">
        <v>30</v>
      </c>
      <c r="H136">
        <v>62.55</v>
      </c>
      <c r="I136">
        <v>721</v>
      </c>
      <c r="J136">
        <v>45098.55</v>
      </c>
      <c r="K136" t="s">
        <v>17</v>
      </c>
    </row>
    <row r="137" spans="1:11" x14ac:dyDescent="0.35">
      <c r="A137" t="s">
        <v>177</v>
      </c>
      <c r="B137" t="s">
        <v>12</v>
      </c>
      <c r="C137" s="1">
        <v>44595</v>
      </c>
      <c r="D137" t="s">
        <v>27</v>
      </c>
      <c r="E137" t="s">
        <v>28</v>
      </c>
      <c r="F137" t="s">
        <v>29</v>
      </c>
      <c r="G137" t="s">
        <v>37</v>
      </c>
      <c r="H137">
        <v>26.37</v>
      </c>
      <c r="I137">
        <v>780</v>
      </c>
      <c r="J137">
        <v>20568.599999999999</v>
      </c>
      <c r="K137" t="s">
        <v>24</v>
      </c>
    </row>
    <row r="138" spans="1:11" x14ac:dyDescent="0.35">
      <c r="A138" t="s">
        <v>178</v>
      </c>
      <c r="B138" t="s">
        <v>19</v>
      </c>
      <c r="C138" s="1">
        <v>44824</v>
      </c>
      <c r="D138" t="s">
        <v>40</v>
      </c>
      <c r="E138" t="s">
        <v>41</v>
      </c>
      <c r="F138" t="s">
        <v>42</v>
      </c>
      <c r="G138" t="s">
        <v>30</v>
      </c>
      <c r="H138">
        <v>35.119999999999997</v>
      </c>
      <c r="I138">
        <v>1122</v>
      </c>
      <c r="J138">
        <v>39404.639999999999</v>
      </c>
      <c r="K138" t="s">
        <v>31</v>
      </c>
    </row>
    <row r="139" spans="1:11" x14ac:dyDescent="0.35">
      <c r="A139" t="s">
        <v>179</v>
      </c>
      <c r="B139" t="s">
        <v>26</v>
      </c>
      <c r="C139" s="1">
        <v>44902</v>
      </c>
      <c r="D139" t="s">
        <v>34</v>
      </c>
      <c r="E139" t="s">
        <v>48</v>
      </c>
      <c r="F139" t="s">
        <v>49</v>
      </c>
      <c r="G139" t="s">
        <v>23</v>
      </c>
      <c r="H139">
        <v>71.81</v>
      </c>
      <c r="I139">
        <v>710</v>
      </c>
      <c r="J139">
        <v>50985.1</v>
      </c>
      <c r="K139" t="s">
        <v>17</v>
      </c>
    </row>
    <row r="140" spans="1:11" x14ac:dyDescent="0.35">
      <c r="A140" t="s">
        <v>180</v>
      </c>
      <c r="B140" t="s">
        <v>33</v>
      </c>
      <c r="C140" s="1">
        <v>44672</v>
      </c>
      <c r="D140" t="s">
        <v>13</v>
      </c>
      <c r="E140" t="s">
        <v>14</v>
      </c>
      <c r="F140" t="s">
        <v>15</v>
      </c>
      <c r="G140" t="s">
        <v>16</v>
      </c>
      <c r="H140">
        <v>27.89</v>
      </c>
      <c r="I140">
        <v>616</v>
      </c>
      <c r="J140">
        <v>17180.240000000002</v>
      </c>
      <c r="K140" t="s">
        <v>24</v>
      </c>
    </row>
    <row r="141" spans="1:11" x14ac:dyDescent="0.35">
      <c r="A141" t="s">
        <v>181</v>
      </c>
      <c r="B141" t="s">
        <v>39</v>
      </c>
      <c r="C141" s="1">
        <v>44789</v>
      </c>
      <c r="D141" t="s">
        <v>20</v>
      </c>
      <c r="E141" t="s">
        <v>21</v>
      </c>
      <c r="F141" t="s">
        <v>22</v>
      </c>
      <c r="G141" t="s">
        <v>50</v>
      </c>
      <c r="H141">
        <v>67.72</v>
      </c>
      <c r="I141">
        <v>725</v>
      </c>
      <c r="J141">
        <v>49097</v>
      </c>
      <c r="K141" t="s">
        <v>31</v>
      </c>
    </row>
    <row r="142" spans="1:11" x14ac:dyDescent="0.35">
      <c r="A142" t="s">
        <v>182</v>
      </c>
      <c r="B142" t="s">
        <v>12</v>
      </c>
      <c r="C142" s="1">
        <v>44923</v>
      </c>
      <c r="D142" t="s">
        <v>27</v>
      </c>
      <c r="E142" t="s">
        <v>28</v>
      </c>
      <c r="F142" t="s">
        <v>29</v>
      </c>
      <c r="G142" t="s">
        <v>30</v>
      </c>
      <c r="H142">
        <v>24.48</v>
      </c>
      <c r="I142">
        <v>848</v>
      </c>
      <c r="J142">
        <v>20759.04</v>
      </c>
      <c r="K142" t="s">
        <v>17</v>
      </c>
    </row>
    <row r="143" spans="1:11" x14ac:dyDescent="0.35">
      <c r="A143" t="s">
        <v>183</v>
      </c>
      <c r="B143" t="s">
        <v>19</v>
      </c>
      <c r="C143" s="1">
        <v>44698</v>
      </c>
      <c r="D143" t="s">
        <v>40</v>
      </c>
      <c r="E143" t="s">
        <v>41</v>
      </c>
      <c r="F143" t="s">
        <v>42</v>
      </c>
      <c r="G143" t="s">
        <v>44</v>
      </c>
      <c r="H143">
        <v>75.19</v>
      </c>
      <c r="I143">
        <v>1093</v>
      </c>
      <c r="J143">
        <v>82182.67</v>
      </c>
      <c r="K143" t="s">
        <v>24</v>
      </c>
    </row>
    <row r="144" spans="1:11" x14ac:dyDescent="0.35">
      <c r="A144" t="s">
        <v>184</v>
      </c>
      <c r="B144" t="s">
        <v>26</v>
      </c>
      <c r="C144" s="1">
        <v>44842</v>
      </c>
      <c r="D144" t="s">
        <v>34</v>
      </c>
      <c r="E144" t="s">
        <v>35</v>
      </c>
      <c r="F144" t="s">
        <v>36</v>
      </c>
      <c r="G144" t="s">
        <v>37</v>
      </c>
      <c r="H144">
        <v>50.65</v>
      </c>
      <c r="I144">
        <v>297</v>
      </c>
      <c r="J144">
        <v>15043.05</v>
      </c>
      <c r="K144" t="s">
        <v>31</v>
      </c>
    </row>
    <row r="145" spans="1:11" x14ac:dyDescent="0.35">
      <c r="A145" t="s">
        <v>185</v>
      </c>
      <c r="B145" t="s">
        <v>33</v>
      </c>
      <c r="C145" s="1">
        <v>44675</v>
      </c>
      <c r="D145" t="s">
        <v>13</v>
      </c>
      <c r="E145" t="s">
        <v>14</v>
      </c>
      <c r="F145" t="s">
        <v>15</v>
      </c>
      <c r="G145" t="s">
        <v>16</v>
      </c>
      <c r="H145">
        <v>30.26</v>
      </c>
      <c r="I145">
        <v>812</v>
      </c>
      <c r="J145">
        <v>24571.119999999999</v>
      </c>
      <c r="K145" t="s">
        <v>17</v>
      </c>
    </row>
    <row r="146" spans="1:11" x14ac:dyDescent="0.35">
      <c r="A146" t="s">
        <v>186</v>
      </c>
      <c r="B146" t="s">
        <v>39</v>
      </c>
      <c r="C146" s="1">
        <v>44784</v>
      </c>
      <c r="D146" t="s">
        <v>20</v>
      </c>
      <c r="E146" t="s">
        <v>21</v>
      </c>
      <c r="F146" t="s">
        <v>22</v>
      </c>
      <c r="G146" t="s">
        <v>23</v>
      </c>
      <c r="H146">
        <v>72.37</v>
      </c>
      <c r="I146">
        <v>1052</v>
      </c>
      <c r="J146">
        <v>76133.240000000005</v>
      </c>
      <c r="K146" t="s">
        <v>24</v>
      </c>
    </row>
    <row r="147" spans="1:11" x14ac:dyDescent="0.35">
      <c r="A147" t="s">
        <v>187</v>
      </c>
      <c r="B147" t="s">
        <v>12</v>
      </c>
      <c r="C147" s="1">
        <v>44598</v>
      </c>
      <c r="D147" t="s">
        <v>27</v>
      </c>
      <c r="E147" t="s">
        <v>28</v>
      </c>
      <c r="F147" t="s">
        <v>29</v>
      </c>
      <c r="G147" t="s">
        <v>30</v>
      </c>
      <c r="H147">
        <v>64.89</v>
      </c>
      <c r="I147">
        <v>1195</v>
      </c>
      <c r="J147">
        <v>77543.55</v>
      </c>
      <c r="K147" t="s">
        <v>31</v>
      </c>
    </row>
    <row r="148" spans="1:11" x14ac:dyDescent="0.35">
      <c r="A148" t="s">
        <v>188</v>
      </c>
      <c r="B148" t="s">
        <v>19</v>
      </c>
      <c r="C148" s="1">
        <v>44807</v>
      </c>
      <c r="D148" t="s">
        <v>40</v>
      </c>
      <c r="E148" t="s">
        <v>41</v>
      </c>
      <c r="F148" t="s">
        <v>42</v>
      </c>
      <c r="G148" t="s">
        <v>23</v>
      </c>
      <c r="H148">
        <v>25.47</v>
      </c>
      <c r="I148">
        <v>622</v>
      </c>
      <c r="J148">
        <v>15842.34</v>
      </c>
      <c r="K148" t="s">
        <v>17</v>
      </c>
    </row>
    <row r="149" spans="1:11" x14ac:dyDescent="0.35">
      <c r="A149" t="s">
        <v>189</v>
      </c>
      <c r="B149" t="s">
        <v>26</v>
      </c>
      <c r="C149" s="1">
        <v>44891</v>
      </c>
      <c r="D149" t="s">
        <v>34</v>
      </c>
      <c r="E149" t="s">
        <v>48</v>
      </c>
      <c r="F149" t="s">
        <v>49</v>
      </c>
      <c r="G149" t="s">
        <v>16</v>
      </c>
      <c r="H149">
        <v>80.680000000000007</v>
      </c>
      <c r="I149">
        <v>702</v>
      </c>
      <c r="J149">
        <v>56637.36</v>
      </c>
      <c r="K149" t="s">
        <v>24</v>
      </c>
    </row>
    <row r="150" spans="1:11" x14ac:dyDescent="0.35">
      <c r="A150" t="s">
        <v>190</v>
      </c>
      <c r="B150" t="s">
        <v>33</v>
      </c>
      <c r="C150" s="1">
        <v>44664</v>
      </c>
      <c r="D150" t="s">
        <v>13</v>
      </c>
      <c r="E150" t="s">
        <v>14</v>
      </c>
      <c r="F150" t="s">
        <v>15</v>
      </c>
      <c r="G150" t="s">
        <v>50</v>
      </c>
      <c r="H150">
        <v>18.25</v>
      </c>
      <c r="I150">
        <v>1044</v>
      </c>
      <c r="J150">
        <v>19053</v>
      </c>
      <c r="K150" t="s">
        <v>31</v>
      </c>
    </row>
    <row r="151" spans="1:11" x14ac:dyDescent="0.35">
      <c r="A151" t="s">
        <v>191</v>
      </c>
      <c r="B151" t="s">
        <v>39</v>
      </c>
      <c r="C151" s="1">
        <v>44771</v>
      </c>
      <c r="D151" t="s">
        <v>20</v>
      </c>
      <c r="E151" t="s">
        <v>21</v>
      </c>
      <c r="F151" t="s">
        <v>22</v>
      </c>
      <c r="G151" t="s">
        <v>30</v>
      </c>
      <c r="H151">
        <v>51.12</v>
      </c>
      <c r="I151">
        <v>839</v>
      </c>
      <c r="J151">
        <v>42889.68</v>
      </c>
      <c r="K151" t="s">
        <v>17</v>
      </c>
    </row>
    <row r="152" spans="1:11" x14ac:dyDescent="0.35">
      <c r="A152" t="s">
        <v>192</v>
      </c>
      <c r="B152" t="s">
        <v>12</v>
      </c>
      <c r="C152" s="1">
        <v>44959</v>
      </c>
      <c r="D152" t="s">
        <v>27</v>
      </c>
      <c r="E152" t="s">
        <v>28</v>
      </c>
      <c r="F152" t="s">
        <v>29</v>
      </c>
      <c r="G152" t="s">
        <v>37</v>
      </c>
      <c r="H152">
        <v>41.75</v>
      </c>
      <c r="I152">
        <v>492</v>
      </c>
      <c r="J152">
        <v>20541</v>
      </c>
      <c r="K152" t="s">
        <v>24</v>
      </c>
    </row>
    <row r="153" spans="1:11" x14ac:dyDescent="0.35">
      <c r="A153" t="s">
        <v>193</v>
      </c>
      <c r="B153" t="s">
        <v>19</v>
      </c>
      <c r="C153" s="1">
        <v>44935</v>
      </c>
      <c r="D153" t="s">
        <v>40</v>
      </c>
      <c r="E153" t="s">
        <v>41</v>
      </c>
      <c r="F153" t="s">
        <v>42</v>
      </c>
      <c r="G153" t="s">
        <v>16</v>
      </c>
      <c r="H153">
        <v>75.28</v>
      </c>
      <c r="I153">
        <v>574</v>
      </c>
      <c r="J153">
        <v>43210.720000000001</v>
      </c>
      <c r="K153" t="s">
        <v>31</v>
      </c>
    </row>
    <row r="154" spans="1:11" x14ac:dyDescent="0.35">
      <c r="A154" t="s">
        <v>194</v>
      </c>
      <c r="B154" t="s">
        <v>26</v>
      </c>
      <c r="C154" s="1">
        <v>45006</v>
      </c>
      <c r="D154" t="s">
        <v>34</v>
      </c>
      <c r="E154" t="s">
        <v>35</v>
      </c>
      <c r="F154" t="s">
        <v>36</v>
      </c>
      <c r="G154" t="s">
        <v>23</v>
      </c>
      <c r="H154">
        <v>32.54</v>
      </c>
      <c r="I154">
        <v>758</v>
      </c>
      <c r="J154">
        <v>24665.32</v>
      </c>
      <c r="K154" t="s">
        <v>17</v>
      </c>
    </row>
    <row r="155" spans="1:11" x14ac:dyDescent="0.35">
      <c r="A155" t="s">
        <v>195</v>
      </c>
      <c r="B155" t="s">
        <v>33</v>
      </c>
      <c r="C155" s="1">
        <v>44939</v>
      </c>
      <c r="D155" t="s">
        <v>13</v>
      </c>
      <c r="E155" t="s">
        <v>14</v>
      </c>
      <c r="F155" t="s">
        <v>15</v>
      </c>
      <c r="G155" t="s">
        <v>30</v>
      </c>
      <c r="H155">
        <v>47.88</v>
      </c>
      <c r="I155">
        <v>924</v>
      </c>
      <c r="J155">
        <v>44241.120000000003</v>
      </c>
      <c r="K155" t="s">
        <v>24</v>
      </c>
    </row>
    <row r="156" spans="1:11" x14ac:dyDescent="0.35">
      <c r="A156" t="s">
        <v>196</v>
      </c>
      <c r="B156" t="s">
        <v>39</v>
      </c>
      <c r="C156" s="1">
        <v>44972</v>
      </c>
      <c r="D156" t="s">
        <v>20</v>
      </c>
      <c r="E156" t="s">
        <v>21</v>
      </c>
      <c r="F156" t="s">
        <v>22</v>
      </c>
      <c r="G156" t="s">
        <v>44</v>
      </c>
      <c r="H156">
        <v>61.67</v>
      </c>
      <c r="I156">
        <v>932</v>
      </c>
      <c r="J156">
        <v>57476.44</v>
      </c>
      <c r="K156" t="s">
        <v>31</v>
      </c>
    </row>
    <row r="157" spans="1:11" x14ac:dyDescent="0.35">
      <c r="A157" t="s">
        <v>197</v>
      </c>
      <c r="B157" t="s">
        <v>12</v>
      </c>
      <c r="C157" s="1">
        <v>44990</v>
      </c>
      <c r="D157" t="s">
        <v>27</v>
      </c>
      <c r="E157" t="s">
        <v>28</v>
      </c>
      <c r="F157" t="s">
        <v>29</v>
      </c>
      <c r="G157" t="s">
        <v>30</v>
      </c>
      <c r="H157">
        <v>73.61</v>
      </c>
      <c r="I157">
        <v>1087</v>
      </c>
      <c r="J157">
        <v>80014.070000000007</v>
      </c>
      <c r="K157" t="s">
        <v>17</v>
      </c>
    </row>
    <row r="158" spans="1:11" x14ac:dyDescent="0.35">
      <c r="A158" t="s">
        <v>198</v>
      </c>
      <c r="B158" t="s">
        <v>19</v>
      </c>
      <c r="C158" s="1">
        <v>45013</v>
      </c>
      <c r="D158" t="s">
        <v>40</v>
      </c>
      <c r="E158" t="s">
        <v>41</v>
      </c>
      <c r="F158" t="s">
        <v>42</v>
      </c>
      <c r="G158" t="s">
        <v>37</v>
      </c>
      <c r="H158">
        <v>19.34</v>
      </c>
      <c r="I158">
        <v>565</v>
      </c>
      <c r="J158">
        <v>10927.1</v>
      </c>
      <c r="K158" t="s">
        <v>24</v>
      </c>
    </row>
    <row r="159" spans="1:11" x14ac:dyDescent="0.35">
      <c r="A159" t="s">
        <v>199</v>
      </c>
      <c r="B159" t="s">
        <v>26</v>
      </c>
      <c r="C159" s="1">
        <v>44983</v>
      </c>
      <c r="D159" t="s">
        <v>34</v>
      </c>
      <c r="E159" t="s">
        <v>48</v>
      </c>
      <c r="F159" t="s">
        <v>49</v>
      </c>
      <c r="G159" t="s">
        <v>16</v>
      </c>
      <c r="H159">
        <v>51.44</v>
      </c>
      <c r="I159">
        <v>388</v>
      </c>
      <c r="J159">
        <v>19958.72</v>
      </c>
      <c r="K159" t="s">
        <v>31</v>
      </c>
    </row>
    <row r="160" spans="1:11" x14ac:dyDescent="0.35">
      <c r="A160" t="s">
        <v>200</v>
      </c>
      <c r="B160" t="s">
        <v>33</v>
      </c>
      <c r="C160" s="1">
        <v>44957</v>
      </c>
      <c r="D160" t="s">
        <v>13</v>
      </c>
      <c r="E160" t="s">
        <v>14</v>
      </c>
      <c r="F160" t="s">
        <v>15</v>
      </c>
      <c r="G160" t="s">
        <v>50</v>
      </c>
      <c r="H160">
        <v>68.09</v>
      </c>
      <c r="I160">
        <v>835</v>
      </c>
      <c r="J160">
        <v>56855.15</v>
      </c>
      <c r="K160" t="s">
        <v>17</v>
      </c>
    </row>
    <row r="161" spans="1:11" x14ac:dyDescent="0.35">
      <c r="A161" t="s">
        <v>201</v>
      </c>
      <c r="B161" t="s">
        <v>39</v>
      </c>
      <c r="C161" s="1">
        <v>45000</v>
      </c>
      <c r="D161" t="s">
        <v>20</v>
      </c>
      <c r="E161" t="s">
        <v>21</v>
      </c>
      <c r="F161" t="s">
        <v>22</v>
      </c>
      <c r="G161" t="s">
        <v>30</v>
      </c>
      <c r="H161">
        <v>27.92</v>
      </c>
      <c r="I161">
        <v>929</v>
      </c>
      <c r="J161">
        <v>25937.68</v>
      </c>
      <c r="K161" t="s">
        <v>24</v>
      </c>
    </row>
    <row r="162" spans="1:11" x14ac:dyDescent="0.35">
      <c r="A162" t="s">
        <v>202</v>
      </c>
      <c r="B162" t="s">
        <v>12</v>
      </c>
      <c r="C162" s="1">
        <v>44995</v>
      </c>
      <c r="D162" t="s">
        <v>27</v>
      </c>
      <c r="E162" t="s">
        <v>28</v>
      </c>
      <c r="F162" t="s">
        <v>29</v>
      </c>
      <c r="G162" t="s">
        <v>44</v>
      </c>
      <c r="H162">
        <v>44.26</v>
      </c>
      <c r="I162">
        <v>516</v>
      </c>
      <c r="J162">
        <v>22838.16</v>
      </c>
      <c r="K162" t="s">
        <v>31</v>
      </c>
    </row>
    <row r="163" spans="1:11" x14ac:dyDescent="0.35">
      <c r="A163" t="s">
        <v>203</v>
      </c>
      <c r="B163" t="s">
        <v>19</v>
      </c>
      <c r="C163" s="1">
        <v>44954</v>
      </c>
      <c r="D163" t="s">
        <v>40</v>
      </c>
      <c r="E163" t="s">
        <v>41</v>
      </c>
      <c r="F163" t="s">
        <v>42</v>
      </c>
      <c r="G163" t="s">
        <v>23</v>
      </c>
      <c r="H163">
        <v>69.44</v>
      </c>
      <c r="I163">
        <v>795</v>
      </c>
      <c r="J163">
        <v>55204.800000000003</v>
      </c>
      <c r="K163" t="s">
        <v>17</v>
      </c>
    </row>
    <row r="164" spans="1:11" x14ac:dyDescent="0.35">
      <c r="A164" t="s">
        <v>204</v>
      </c>
      <c r="B164" t="s">
        <v>26</v>
      </c>
      <c r="C164" s="1">
        <v>44964</v>
      </c>
      <c r="D164" t="s">
        <v>34</v>
      </c>
      <c r="E164" t="s">
        <v>35</v>
      </c>
      <c r="F164" t="s">
        <v>36</v>
      </c>
      <c r="G164" t="s">
        <v>37</v>
      </c>
      <c r="H164">
        <v>27.89</v>
      </c>
      <c r="I164">
        <v>1179</v>
      </c>
      <c r="J164">
        <v>32882.31</v>
      </c>
      <c r="K164" t="s">
        <v>24</v>
      </c>
    </row>
    <row r="165" spans="1:11" x14ac:dyDescent="0.35">
      <c r="A165" t="s">
        <v>205</v>
      </c>
      <c r="B165" t="s">
        <v>33</v>
      </c>
      <c r="C165" s="1">
        <v>45004</v>
      </c>
      <c r="D165" t="s">
        <v>13</v>
      </c>
      <c r="E165" t="s">
        <v>14</v>
      </c>
      <c r="F165" t="s">
        <v>15</v>
      </c>
      <c r="G165" t="s">
        <v>16</v>
      </c>
      <c r="H165">
        <v>32.130000000000003</v>
      </c>
      <c r="I165">
        <v>442</v>
      </c>
      <c r="J165">
        <v>14201.46</v>
      </c>
      <c r="K165" t="s">
        <v>31</v>
      </c>
    </row>
    <row r="166" spans="1:11" x14ac:dyDescent="0.35">
      <c r="A166" t="s">
        <v>206</v>
      </c>
      <c r="B166" t="s">
        <v>39</v>
      </c>
      <c r="C166" s="1">
        <v>45011</v>
      </c>
      <c r="D166" t="s">
        <v>20</v>
      </c>
      <c r="E166" t="s">
        <v>21</v>
      </c>
      <c r="F166" t="s">
        <v>22</v>
      </c>
      <c r="G166" t="s">
        <v>23</v>
      </c>
      <c r="H166">
        <v>81.349999999999994</v>
      </c>
      <c r="I166">
        <v>957</v>
      </c>
      <c r="J166">
        <v>77851.95</v>
      </c>
      <c r="K166" t="s">
        <v>17</v>
      </c>
    </row>
    <row r="167" spans="1:11" x14ac:dyDescent="0.35">
      <c r="A167" t="s">
        <v>207</v>
      </c>
      <c r="B167" t="s">
        <v>12</v>
      </c>
      <c r="C167" s="1">
        <v>44944</v>
      </c>
      <c r="D167" t="s">
        <v>27</v>
      </c>
      <c r="E167" t="s">
        <v>28</v>
      </c>
      <c r="F167" t="s">
        <v>29</v>
      </c>
      <c r="G167" t="s">
        <v>30</v>
      </c>
      <c r="H167">
        <v>56.79</v>
      </c>
      <c r="I167">
        <v>802</v>
      </c>
      <c r="J167">
        <v>45545.58</v>
      </c>
      <c r="K167" t="s">
        <v>24</v>
      </c>
    </row>
    <row r="168" spans="1:11" x14ac:dyDescent="0.35">
      <c r="A168" t="s">
        <v>208</v>
      </c>
      <c r="B168" t="s">
        <v>19</v>
      </c>
      <c r="C168" s="1">
        <v>44980</v>
      </c>
      <c r="D168" t="s">
        <v>40</v>
      </c>
      <c r="E168" t="s">
        <v>41</v>
      </c>
      <c r="F168" t="s">
        <v>42</v>
      </c>
      <c r="G168" t="s">
        <v>50</v>
      </c>
      <c r="H168">
        <v>22.78</v>
      </c>
      <c r="I168">
        <v>1100</v>
      </c>
      <c r="J168">
        <v>25058</v>
      </c>
      <c r="K168" t="s">
        <v>31</v>
      </c>
    </row>
    <row r="169" spans="1:11" x14ac:dyDescent="0.35">
      <c r="A169" t="s">
        <v>209</v>
      </c>
      <c r="B169" t="s">
        <v>26</v>
      </c>
      <c r="C169" s="1">
        <v>44999</v>
      </c>
      <c r="D169" t="s">
        <v>34</v>
      </c>
      <c r="E169" t="s">
        <v>48</v>
      </c>
      <c r="F169" t="s">
        <v>49</v>
      </c>
      <c r="G169" t="s">
        <v>16</v>
      </c>
      <c r="H169">
        <v>75.13</v>
      </c>
      <c r="I169">
        <v>584</v>
      </c>
      <c r="J169">
        <v>43875.92</v>
      </c>
      <c r="K169" t="s">
        <v>17</v>
      </c>
    </row>
    <row r="170" spans="1:11" x14ac:dyDescent="0.35">
      <c r="A170" t="s">
        <v>210</v>
      </c>
      <c r="B170" t="s">
        <v>33</v>
      </c>
      <c r="C170" s="1">
        <v>44959</v>
      </c>
      <c r="D170" t="s">
        <v>13</v>
      </c>
      <c r="E170" t="s">
        <v>14</v>
      </c>
      <c r="F170" t="s">
        <v>15</v>
      </c>
      <c r="G170" t="s">
        <v>30</v>
      </c>
      <c r="H170">
        <v>36.29</v>
      </c>
      <c r="I170">
        <v>816</v>
      </c>
      <c r="J170">
        <v>29612.639999999999</v>
      </c>
      <c r="K170" t="s">
        <v>24</v>
      </c>
    </row>
    <row r="171" spans="1:11" x14ac:dyDescent="0.35">
      <c r="A171" t="s">
        <v>211</v>
      </c>
      <c r="B171" t="s">
        <v>39</v>
      </c>
      <c r="C171" s="1">
        <v>44934</v>
      </c>
      <c r="D171" t="s">
        <v>20</v>
      </c>
      <c r="E171" t="s">
        <v>21</v>
      </c>
      <c r="F171" t="s">
        <v>22</v>
      </c>
      <c r="G171" t="s">
        <v>23</v>
      </c>
      <c r="H171">
        <v>90.42</v>
      </c>
      <c r="I171">
        <v>1022</v>
      </c>
      <c r="J171">
        <v>92409.24</v>
      </c>
      <c r="K171" t="s">
        <v>31</v>
      </c>
    </row>
    <row r="172" spans="1:11" x14ac:dyDescent="0.35">
      <c r="A172" t="s">
        <v>212</v>
      </c>
      <c r="B172" t="s">
        <v>12</v>
      </c>
      <c r="C172" s="1">
        <v>44993</v>
      </c>
      <c r="D172" t="s">
        <v>27</v>
      </c>
      <c r="E172" t="s">
        <v>28</v>
      </c>
      <c r="F172" t="s">
        <v>29</v>
      </c>
      <c r="G172" t="s">
        <v>37</v>
      </c>
      <c r="H172">
        <v>48.92</v>
      </c>
      <c r="I172">
        <v>1115</v>
      </c>
      <c r="J172">
        <v>54545.8</v>
      </c>
      <c r="K172" t="s">
        <v>17</v>
      </c>
    </row>
    <row r="173" spans="1:11" x14ac:dyDescent="0.35">
      <c r="A173" t="s">
        <v>213</v>
      </c>
      <c r="B173" t="s">
        <v>19</v>
      </c>
      <c r="C173" s="1">
        <v>44989</v>
      </c>
      <c r="D173" t="s">
        <v>40</v>
      </c>
      <c r="E173" t="s">
        <v>41</v>
      </c>
      <c r="F173" t="s">
        <v>42</v>
      </c>
      <c r="G173" t="s">
        <v>30</v>
      </c>
      <c r="H173">
        <v>63.01</v>
      </c>
      <c r="I173">
        <v>874</v>
      </c>
      <c r="J173">
        <v>55070.74</v>
      </c>
      <c r="K173" t="s">
        <v>24</v>
      </c>
    </row>
    <row r="174" spans="1:11" x14ac:dyDescent="0.35">
      <c r="A174" t="s">
        <v>214</v>
      </c>
      <c r="B174" t="s">
        <v>26</v>
      </c>
      <c r="C174" s="1">
        <v>44971</v>
      </c>
      <c r="D174" t="s">
        <v>34</v>
      </c>
      <c r="E174" t="s">
        <v>35</v>
      </c>
      <c r="F174" t="s">
        <v>36</v>
      </c>
      <c r="G174" t="s">
        <v>37</v>
      </c>
      <c r="H174">
        <v>36.619999999999997</v>
      </c>
      <c r="I174">
        <v>729</v>
      </c>
      <c r="J174">
        <v>26695.98</v>
      </c>
      <c r="K174" t="s">
        <v>31</v>
      </c>
    </row>
    <row r="175" spans="1:11" x14ac:dyDescent="0.35">
      <c r="A175" t="s">
        <v>215</v>
      </c>
      <c r="B175" t="s">
        <v>33</v>
      </c>
      <c r="C175" s="1">
        <v>44948</v>
      </c>
      <c r="D175" t="s">
        <v>13</v>
      </c>
      <c r="E175" t="s">
        <v>14</v>
      </c>
      <c r="F175" t="s">
        <v>15</v>
      </c>
      <c r="G175" t="s">
        <v>44</v>
      </c>
      <c r="H175">
        <v>88.72</v>
      </c>
      <c r="I175">
        <v>535</v>
      </c>
      <c r="J175">
        <v>47465.2</v>
      </c>
      <c r="K175" t="s">
        <v>17</v>
      </c>
    </row>
    <row r="176" spans="1:11" x14ac:dyDescent="0.35">
      <c r="A176" t="s">
        <v>216</v>
      </c>
      <c r="B176" t="s">
        <v>39</v>
      </c>
      <c r="C176" s="1">
        <v>45006</v>
      </c>
      <c r="D176" t="s">
        <v>20</v>
      </c>
      <c r="E176" t="s">
        <v>21</v>
      </c>
      <c r="F176" t="s">
        <v>22</v>
      </c>
      <c r="G176" t="s">
        <v>30</v>
      </c>
      <c r="H176">
        <v>74.37</v>
      </c>
      <c r="I176">
        <v>624</v>
      </c>
      <c r="J176">
        <v>46406.879999999997</v>
      </c>
      <c r="K176" t="s">
        <v>24</v>
      </c>
    </row>
    <row r="177" spans="1:11" x14ac:dyDescent="0.35">
      <c r="A177" t="s">
        <v>217</v>
      </c>
      <c r="B177" t="s">
        <v>12</v>
      </c>
      <c r="C177" s="1">
        <v>44969</v>
      </c>
      <c r="D177" t="s">
        <v>27</v>
      </c>
      <c r="E177" t="s">
        <v>28</v>
      </c>
      <c r="F177" t="s">
        <v>29</v>
      </c>
      <c r="G177" t="s">
        <v>44</v>
      </c>
      <c r="H177">
        <v>46.19</v>
      </c>
      <c r="I177">
        <v>992</v>
      </c>
      <c r="J177">
        <v>45820.480000000003</v>
      </c>
      <c r="K177" t="s">
        <v>31</v>
      </c>
    </row>
    <row r="178" spans="1:11" x14ac:dyDescent="0.35">
      <c r="A178" t="s">
        <v>218</v>
      </c>
      <c r="B178" t="s">
        <v>19</v>
      </c>
      <c r="C178" s="1">
        <v>45011</v>
      </c>
      <c r="D178" t="s">
        <v>40</v>
      </c>
      <c r="E178" t="s">
        <v>41</v>
      </c>
      <c r="F178" t="s">
        <v>42</v>
      </c>
      <c r="G178" t="s">
        <v>37</v>
      </c>
      <c r="H178">
        <v>31.78</v>
      </c>
      <c r="I178">
        <v>1155</v>
      </c>
      <c r="J178">
        <v>36705.9</v>
      </c>
      <c r="K178" t="s">
        <v>17</v>
      </c>
    </row>
    <row r="179" spans="1:11" x14ac:dyDescent="0.35">
      <c r="A179" t="s">
        <v>219</v>
      </c>
      <c r="B179" t="s">
        <v>26</v>
      </c>
      <c r="C179" s="1">
        <v>44941</v>
      </c>
      <c r="D179" t="s">
        <v>34</v>
      </c>
      <c r="E179" t="s">
        <v>48</v>
      </c>
      <c r="F179" t="s">
        <v>49</v>
      </c>
      <c r="G179" t="s">
        <v>50</v>
      </c>
      <c r="H179">
        <v>67.34</v>
      </c>
      <c r="I179">
        <v>365</v>
      </c>
      <c r="J179">
        <v>24579.1</v>
      </c>
      <c r="K179" t="s">
        <v>24</v>
      </c>
    </row>
    <row r="180" spans="1:11" x14ac:dyDescent="0.35">
      <c r="A180" t="s">
        <v>220</v>
      </c>
      <c r="B180" t="s">
        <v>33</v>
      </c>
      <c r="C180" s="1">
        <v>44980</v>
      </c>
      <c r="D180" t="s">
        <v>13</v>
      </c>
      <c r="E180" t="s">
        <v>14</v>
      </c>
      <c r="F180" t="s">
        <v>15</v>
      </c>
      <c r="G180" t="s">
        <v>16</v>
      </c>
      <c r="H180">
        <v>26.29</v>
      </c>
      <c r="I180">
        <v>1169</v>
      </c>
      <c r="J180">
        <v>30733.01</v>
      </c>
      <c r="K180" t="s">
        <v>31</v>
      </c>
    </row>
    <row r="181" spans="1:11" x14ac:dyDescent="0.35">
      <c r="A181" t="s">
        <v>221</v>
      </c>
      <c r="B181" t="s">
        <v>39</v>
      </c>
      <c r="C181" s="1">
        <v>44998</v>
      </c>
      <c r="D181" t="s">
        <v>20</v>
      </c>
      <c r="E181" t="s">
        <v>21</v>
      </c>
      <c r="F181" t="s">
        <v>22</v>
      </c>
      <c r="G181" t="s">
        <v>23</v>
      </c>
      <c r="H181">
        <v>55.88</v>
      </c>
      <c r="I181">
        <v>938</v>
      </c>
      <c r="J181">
        <v>52415.44</v>
      </c>
      <c r="K181" t="s">
        <v>17</v>
      </c>
    </row>
    <row r="182" spans="1:11" x14ac:dyDescent="0.35">
      <c r="A182" t="s">
        <v>222</v>
      </c>
      <c r="B182" t="s">
        <v>12</v>
      </c>
      <c r="C182" s="1">
        <v>44962</v>
      </c>
      <c r="D182" t="s">
        <v>27</v>
      </c>
      <c r="E182" t="s">
        <v>28</v>
      </c>
      <c r="F182" t="s">
        <v>29</v>
      </c>
      <c r="G182" t="s">
        <v>30</v>
      </c>
      <c r="H182">
        <v>89.31</v>
      </c>
      <c r="I182">
        <v>1203</v>
      </c>
      <c r="J182">
        <v>107439.93</v>
      </c>
      <c r="K182" t="s">
        <v>24</v>
      </c>
    </row>
    <row r="183" spans="1:11" x14ac:dyDescent="0.35">
      <c r="A183" t="s">
        <v>223</v>
      </c>
      <c r="B183" t="s">
        <v>19</v>
      </c>
      <c r="C183" s="1">
        <v>44937</v>
      </c>
      <c r="D183" t="s">
        <v>40</v>
      </c>
      <c r="E183" t="s">
        <v>41</v>
      </c>
      <c r="F183" t="s">
        <v>42</v>
      </c>
      <c r="G183" t="s">
        <v>44</v>
      </c>
      <c r="H183">
        <v>33.659999999999997</v>
      </c>
      <c r="I183">
        <v>613</v>
      </c>
      <c r="J183">
        <v>20633.580000000002</v>
      </c>
      <c r="K183" t="s">
        <v>31</v>
      </c>
    </row>
    <row r="184" spans="1:11" x14ac:dyDescent="0.35">
      <c r="A184" t="s">
        <v>224</v>
      </c>
      <c r="B184" t="s">
        <v>26</v>
      </c>
      <c r="C184" s="1">
        <v>45004</v>
      </c>
      <c r="D184" t="s">
        <v>34</v>
      </c>
      <c r="E184" t="s">
        <v>35</v>
      </c>
      <c r="F184" t="s">
        <v>36</v>
      </c>
      <c r="G184" t="s">
        <v>16</v>
      </c>
      <c r="H184">
        <v>65.22</v>
      </c>
      <c r="I184">
        <v>788</v>
      </c>
      <c r="J184">
        <v>51393.36</v>
      </c>
      <c r="K184" t="s">
        <v>17</v>
      </c>
    </row>
    <row r="185" spans="1:11" x14ac:dyDescent="0.35">
      <c r="A185" t="s">
        <v>225</v>
      </c>
      <c r="B185" t="s">
        <v>33</v>
      </c>
      <c r="C185" s="1">
        <v>44970</v>
      </c>
      <c r="D185" t="s">
        <v>13</v>
      </c>
      <c r="E185" t="s">
        <v>14</v>
      </c>
      <c r="F185" t="s">
        <v>15</v>
      </c>
      <c r="G185" t="s">
        <v>23</v>
      </c>
      <c r="H185">
        <v>40.92</v>
      </c>
      <c r="I185">
        <v>631</v>
      </c>
      <c r="J185">
        <v>25820.52</v>
      </c>
      <c r="K185" t="s">
        <v>24</v>
      </c>
    </row>
    <row r="186" spans="1:11" x14ac:dyDescent="0.35">
      <c r="A186" t="s">
        <v>226</v>
      </c>
      <c r="B186" t="s">
        <v>39</v>
      </c>
      <c r="C186" s="1">
        <v>44932</v>
      </c>
      <c r="D186" t="s">
        <v>20</v>
      </c>
      <c r="E186" t="s">
        <v>21</v>
      </c>
      <c r="F186" t="s">
        <v>22</v>
      </c>
      <c r="G186" t="s">
        <v>50</v>
      </c>
      <c r="H186">
        <v>21.55</v>
      </c>
      <c r="I186">
        <v>812</v>
      </c>
      <c r="J186">
        <v>17498.599999999999</v>
      </c>
      <c r="K186" t="s">
        <v>31</v>
      </c>
    </row>
    <row r="187" spans="1:11" x14ac:dyDescent="0.35">
      <c r="A187" t="s">
        <v>227</v>
      </c>
      <c r="B187" t="s">
        <v>12</v>
      </c>
      <c r="C187" s="1">
        <v>44990</v>
      </c>
      <c r="D187" t="s">
        <v>27</v>
      </c>
      <c r="E187" t="s">
        <v>28</v>
      </c>
      <c r="F187" t="s">
        <v>29</v>
      </c>
      <c r="G187" t="s">
        <v>37</v>
      </c>
      <c r="H187">
        <v>78.56</v>
      </c>
      <c r="I187">
        <v>938</v>
      </c>
      <c r="J187">
        <v>73689.279999999999</v>
      </c>
      <c r="K187" t="s">
        <v>17</v>
      </c>
    </row>
    <row r="188" spans="1:11" x14ac:dyDescent="0.35">
      <c r="A188" t="s">
        <v>228</v>
      </c>
      <c r="B188" t="s">
        <v>19</v>
      </c>
      <c r="C188" s="1">
        <v>44973</v>
      </c>
      <c r="D188" t="s">
        <v>40</v>
      </c>
      <c r="E188" t="s">
        <v>41</v>
      </c>
      <c r="F188" t="s">
        <v>42</v>
      </c>
      <c r="G188" t="s">
        <v>30</v>
      </c>
      <c r="H188">
        <v>42.09</v>
      </c>
      <c r="I188">
        <v>1187</v>
      </c>
      <c r="J188">
        <v>49960.83</v>
      </c>
      <c r="K188" t="s">
        <v>24</v>
      </c>
    </row>
    <row r="189" spans="1:11" x14ac:dyDescent="0.35">
      <c r="A189" t="s">
        <v>229</v>
      </c>
      <c r="B189" t="s">
        <v>26</v>
      </c>
      <c r="C189" s="1">
        <v>44929</v>
      </c>
      <c r="D189" t="s">
        <v>34</v>
      </c>
      <c r="E189" t="s">
        <v>48</v>
      </c>
      <c r="F189" t="s">
        <v>49</v>
      </c>
      <c r="G189" t="s">
        <v>16</v>
      </c>
      <c r="H189">
        <v>29.71</v>
      </c>
      <c r="I189">
        <v>939</v>
      </c>
      <c r="J189">
        <v>27897.69</v>
      </c>
      <c r="K189" t="s">
        <v>31</v>
      </c>
    </row>
    <row r="190" spans="1:11" x14ac:dyDescent="0.35">
      <c r="A190" t="s">
        <v>230</v>
      </c>
      <c r="B190" t="s">
        <v>33</v>
      </c>
      <c r="C190" s="1">
        <v>45003</v>
      </c>
      <c r="D190" t="s">
        <v>13</v>
      </c>
      <c r="E190" t="s">
        <v>14</v>
      </c>
      <c r="F190" t="s">
        <v>15</v>
      </c>
      <c r="G190" t="s">
        <v>44</v>
      </c>
      <c r="H190">
        <v>55.92</v>
      </c>
      <c r="I190">
        <v>698</v>
      </c>
      <c r="J190">
        <v>39032.160000000003</v>
      </c>
      <c r="K190" t="s">
        <v>17</v>
      </c>
    </row>
    <row r="191" spans="1:11" x14ac:dyDescent="0.35">
      <c r="A191" t="s">
        <v>231</v>
      </c>
      <c r="B191" t="s">
        <v>39</v>
      </c>
      <c r="C191" s="1">
        <v>44959</v>
      </c>
      <c r="D191" t="s">
        <v>20</v>
      </c>
      <c r="E191" t="s">
        <v>21</v>
      </c>
      <c r="F191" t="s">
        <v>22</v>
      </c>
      <c r="G191" t="s">
        <v>30</v>
      </c>
      <c r="H191">
        <v>83.23</v>
      </c>
      <c r="I191">
        <v>675</v>
      </c>
      <c r="J191">
        <v>56180.25</v>
      </c>
      <c r="K191" t="s">
        <v>24</v>
      </c>
    </row>
    <row r="192" spans="1:11" x14ac:dyDescent="0.35">
      <c r="A192" t="s">
        <v>232</v>
      </c>
      <c r="B192" t="s">
        <v>12</v>
      </c>
      <c r="C192" s="1">
        <v>44949</v>
      </c>
      <c r="D192" t="s">
        <v>27</v>
      </c>
      <c r="E192" t="s">
        <v>28</v>
      </c>
      <c r="F192" t="s">
        <v>29</v>
      </c>
      <c r="G192" t="s">
        <v>44</v>
      </c>
      <c r="H192">
        <v>34.78</v>
      </c>
      <c r="I192">
        <v>853</v>
      </c>
      <c r="J192">
        <v>29667.34</v>
      </c>
      <c r="K192" t="s">
        <v>31</v>
      </c>
    </row>
    <row r="193" spans="1:11" x14ac:dyDescent="0.35">
      <c r="A193" t="s">
        <v>233</v>
      </c>
      <c r="B193" t="s">
        <v>19</v>
      </c>
      <c r="C193" s="1">
        <v>45012</v>
      </c>
      <c r="D193" t="s">
        <v>40</v>
      </c>
      <c r="E193" t="s">
        <v>41</v>
      </c>
      <c r="F193" t="s">
        <v>42</v>
      </c>
      <c r="G193" t="s">
        <v>23</v>
      </c>
      <c r="H193">
        <v>70.430000000000007</v>
      </c>
      <c r="I193">
        <v>1073</v>
      </c>
      <c r="J193">
        <v>75571.39</v>
      </c>
      <c r="K193" t="s">
        <v>17</v>
      </c>
    </row>
    <row r="194" spans="1:11" x14ac:dyDescent="0.35">
      <c r="A194" t="s">
        <v>234</v>
      </c>
      <c r="B194" t="s">
        <v>26</v>
      </c>
      <c r="C194" s="1">
        <v>44972</v>
      </c>
      <c r="D194" t="s">
        <v>34</v>
      </c>
      <c r="E194" t="s">
        <v>35</v>
      </c>
      <c r="F194" t="s">
        <v>36</v>
      </c>
      <c r="G194" t="s">
        <v>37</v>
      </c>
      <c r="H194">
        <v>22.11</v>
      </c>
      <c r="I194">
        <v>426</v>
      </c>
      <c r="J194">
        <v>9418.86</v>
      </c>
      <c r="K194" t="s">
        <v>24</v>
      </c>
    </row>
    <row r="195" spans="1:11" x14ac:dyDescent="0.35">
      <c r="A195" t="s">
        <v>235</v>
      </c>
      <c r="B195" t="s">
        <v>33</v>
      </c>
      <c r="C195" s="1">
        <v>44937</v>
      </c>
      <c r="D195" t="s">
        <v>13</v>
      </c>
      <c r="E195" t="s">
        <v>14</v>
      </c>
      <c r="F195" t="s">
        <v>15</v>
      </c>
      <c r="G195" t="s">
        <v>16</v>
      </c>
      <c r="H195">
        <v>47.65</v>
      </c>
      <c r="I195">
        <v>817</v>
      </c>
      <c r="J195">
        <v>38930.050000000003</v>
      </c>
      <c r="K195" t="s">
        <v>31</v>
      </c>
    </row>
    <row r="196" spans="1:11" x14ac:dyDescent="0.35">
      <c r="A196" t="s">
        <v>236</v>
      </c>
      <c r="B196" t="s">
        <v>39</v>
      </c>
      <c r="C196" s="1">
        <v>45008</v>
      </c>
      <c r="D196" t="s">
        <v>20</v>
      </c>
      <c r="E196" t="s">
        <v>21</v>
      </c>
      <c r="F196" t="s">
        <v>22</v>
      </c>
      <c r="G196" t="s">
        <v>23</v>
      </c>
      <c r="H196">
        <v>64.19</v>
      </c>
      <c r="I196">
        <v>670</v>
      </c>
      <c r="J196">
        <v>43007.3</v>
      </c>
      <c r="K196" t="s">
        <v>17</v>
      </c>
    </row>
    <row r="197" spans="1:11" x14ac:dyDescent="0.35">
      <c r="A197" t="s">
        <v>237</v>
      </c>
      <c r="B197" t="s">
        <v>12</v>
      </c>
      <c r="C197" s="1">
        <v>44977</v>
      </c>
      <c r="D197" t="s">
        <v>27</v>
      </c>
      <c r="E197" t="s">
        <v>28</v>
      </c>
      <c r="F197" t="s">
        <v>29</v>
      </c>
      <c r="G197" t="s">
        <v>30</v>
      </c>
      <c r="H197">
        <v>32.979999999999997</v>
      </c>
      <c r="I197">
        <v>889</v>
      </c>
      <c r="J197">
        <v>29319.22</v>
      </c>
      <c r="K197" t="s">
        <v>24</v>
      </c>
    </row>
    <row r="198" spans="1:11" x14ac:dyDescent="0.35">
      <c r="A198" t="s">
        <v>238</v>
      </c>
      <c r="B198" t="s">
        <v>19</v>
      </c>
      <c r="C198" s="1">
        <v>44939</v>
      </c>
      <c r="D198" t="s">
        <v>40</v>
      </c>
      <c r="E198" t="s">
        <v>41</v>
      </c>
      <c r="F198" t="s">
        <v>42</v>
      </c>
      <c r="G198" t="s">
        <v>37</v>
      </c>
      <c r="H198">
        <v>79.47</v>
      </c>
      <c r="I198">
        <v>564</v>
      </c>
      <c r="J198">
        <v>44821.08</v>
      </c>
      <c r="K198" t="s">
        <v>31</v>
      </c>
    </row>
    <row r="199" spans="1:11" x14ac:dyDescent="0.35">
      <c r="A199" t="s">
        <v>239</v>
      </c>
      <c r="B199" t="s">
        <v>26</v>
      </c>
      <c r="C199" s="1">
        <v>44988</v>
      </c>
      <c r="D199" t="s">
        <v>34</v>
      </c>
      <c r="E199" t="s">
        <v>48</v>
      </c>
      <c r="F199" t="s">
        <v>49</v>
      </c>
      <c r="G199" t="s">
        <v>30</v>
      </c>
      <c r="H199">
        <v>39.68</v>
      </c>
      <c r="I199">
        <v>704</v>
      </c>
      <c r="J199">
        <v>27934.720000000001</v>
      </c>
      <c r="K199" t="s">
        <v>17</v>
      </c>
    </row>
    <row r="200" spans="1:11" x14ac:dyDescent="0.35">
      <c r="A200" t="s">
        <v>240</v>
      </c>
      <c r="B200" t="s">
        <v>33</v>
      </c>
      <c r="C200" s="1">
        <v>44967</v>
      </c>
      <c r="D200" t="s">
        <v>13</v>
      </c>
      <c r="E200" t="s">
        <v>14</v>
      </c>
      <c r="F200" t="s">
        <v>15</v>
      </c>
      <c r="G200" t="s">
        <v>44</v>
      </c>
      <c r="H200">
        <v>46.34</v>
      </c>
      <c r="I200">
        <v>1098</v>
      </c>
      <c r="J200">
        <v>50881.32</v>
      </c>
      <c r="K200" t="s">
        <v>24</v>
      </c>
    </row>
    <row r="201" spans="1:11" x14ac:dyDescent="0.35">
      <c r="A201" t="s">
        <v>241</v>
      </c>
      <c r="B201" t="s">
        <v>39</v>
      </c>
      <c r="C201" s="1">
        <v>44942</v>
      </c>
      <c r="D201" t="s">
        <v>20</v>
      </c>
      <c r="E201" t="s">
        <v>21</v>
      </c>
      <c r="F201" t="s">
        <v>22</v>
      </c>
      <c r="G201" t="s">
        <v>16</v>
      </c>
      <c r="H201">
        <v>66.23</v>
      </c>
      <c r="I201">
        <v>1005</v>
      </c>
      <c r="J201">
        <v>66561.149999999994</v>
      </c>
      <c r="K201" t="s">
        <v>31</v>
      </c>
    </row>
    <row r="202" spans="1:11" x14ac:dyDescent="0.35">
      <c r="A202" t="s">
        <v>242</v>
      </c>
      <c r="B202" t="s">
        <v>12</v>
      </c>
      <c r="C202" s="1">
        <v>45010</v>
      </c>
      <c r="D202" t="s">
        <v>27</v>
      </c>
      <c r="E202" t="s">
        <v>28</v>
      </c>
      <c r="F202" t="s">
        <v>29</v>
      </c>
      <c r="G202" t="s">
        <v>23</v>
      </c>
      <c r="H202">
        <v>29.15</v>
      </c>
      <c r="I202">
        <v>611</v>
      </c>
      <c r="J202">
        <v>17810.650000000001</v>
      </c>
      <c r="K202" t="s">
        <v>17</v>
      </c>
    </row>
    <row r="203" spans="1:11" x14ac:dyDescent="0.35">
      <c r="A203" t="s">
        <v>243</v>
      </c>
      <c r="B203" t="s">
        <v>19</v>
      </c>
      <c r="C203" s="1">
        <v>44969</v>
      </c>
      <c r="D203" t="s">
        <v>40</v>
      </c>
      <c r="E203" t="s">
        <v>41</v>
      </c>
      <c r="F203" t="s">
        <v>42</v>
      </c>
      <c r="G203" t="s">
        <v>30</v>
      </c>
      <c r="H203">
        <v>54.11</v>
      </c>
      <c r="I203">
        <v>943</v>
      </c>
      <c r="J203">
        <v>51025.73</v>
      </c>
      <c r="K203" t="s">
        <v>24</v>
      </c>
    </row>
    <row r="204" spans="1:11" x14ac:dyDescent="0.35">
      <c r="A204" t="s">
        <v>244</v>
      </c>
      <c r="B204" t="s">
        <v>26</v>
      </c>
      <c r="C204" s="1">
        <v>44932</v>
      </c>
      <c r="D204" t="s">
        <v>34</v>
      </c>
      <c r="E204" t="s">
        <v>35</v>
      </c>
      <c r="F204" t="s">
        <v>36</v>
      </c>
      <c r="G204" t="s">
        <v>37</v>
      </c>
      <c r="H204">
        <v>23.89</v>
      </c>
      <c r="I204">
        <v>827</v>
      </c>
      <c r="J204">
        <v>19757.03</v>
      </c>
      <c r="K204" t="s">
        <v>31</v>
      </c>
    </row>
    <row r="205" spans="1:11" x14ac:dyDescent="0.35">
      <c r="A205" t="s">
        <v>245</v>
      </c>
      <c r="B205" t="s">
        <v>33</v>
      </c>
      <c r="C205" s="1">
        <v>44999</v>
      </c>
      <c r="D205" t="s">
        <v>13</v>
      </c>
      <c r="E205" t="s">
        <v>14</v>
      </c>
      <c r="F205" t="s">
        <v>15</v>
      </c>
      <c r="G205" t="s">
        <v>16</v>
      </c>
      <c r="H205">
        <v>37.56</v>
      </c>
      <c r="I205">
        <v>1156</v>
      </c>
      <c r="J205">
        <v>43419.360000000001</v>
      </c>
      <c r="K205" t="s">
        <v>17</v>
      </c>
    </row>
    <row r="206" spans="1:11" x14ac:dyDescent="0.35">
      <c r="A206" t="s">
        <v>246</v>
      </c>
      <c r="B206" t="s">
        <v>39</v>
      </c>
      <c r="C206" s="1">
        <v>44985</v>
      </c>
      <c r="D206" t="s">
        <v>20</v>
      </c>
      <c r="E206" t="s">
        <v>21</v>
      </c>
      <c r="F206" t="s">
        <v>22</v>
      </c>
      <c r="G206" t="s">
        <v>50</v>
      </c>
      <c r="H206">
        <v>58.69</v>
      </c>
      <c r="I206">
        <v>928</v>
      </c>
      <c r="J206">
        <v>54464.32</v>
      </c>
      <c r="K206" t="s">
        <v>24</v>
      </c>
    </row>
    <row r="207" spans="1:11" x14ac:dyDescent="0.35">
      <c r="A207" t="s">
        <v>247</v>
      </c>
      <c r="B207" t="s">
        <v>12</v>
      </c>
      <c r="C207" s="1">
        <v>44935</v>
      </c>
      <c r="D207" t="s">
        <v>27</v>
      </c>
      <c r="E207" t="s">
        <v>28</v>
      </c>
      <c r="F207" t="s">
        <v>29</v>
      </c>
      <c r="G207" t="s">
        <v>37</v>
      </c>
      <c r="H207">
        <v>89.21</v>
      </c>
      <c r="I207">
        <v>597</v>
      </c>
      <c r="J207">
        <v>53258.37</v>
      </c>
      <c r="K207" t="s">
        <v>31</v>
      </c>
    </row>
    <row r="208" spans="1:11" x14ac:dyDescent="0.35">
      <c r="A208" t="s">
        <v>248</v>
      </c>
      <c r="B208" t="s">
        <v>19</v>
      </c>
      <c r="C208" s="1">
        <v>45002</v>
      </c>
      <c r="D208" t="s">
        <v>40</v>
      </c>
      <c r="E208" t="s">
        <v>41</v>
      </c>
      <c r="F208" t="s">
        <v>42</v>
      </c>
      <c r="G208" t="s">
        <v>30</v>
      </c>
      <c r="H208">
        <v>41.32</v>
      </c>
      <c r="I208">
        <v>917</v>
      </c>
      <c r="J208">
        <v>37890.44</v>
      </c>
      <c r="K208" t="s">
        <v>17</v>
      </c>
    </row>
    <row r="209" spans="1:11" x14ac:dyDescent="0.35">
      <c r="A209" t="s">
        <v>249</v>
      </c>
      <c r="B209" t="s">
        <v>26</v>
      </c>
      <c r="C209" s="1">
        <v>44962</v>
      </c>
      <c r="D209" t="s">
        <v>34</v>
      </c>
      <c r="E209" t="s">
        <v>48</v>
      </c>
      <c r="F209" t="s">
        <v>49</v>
      </c>
      <c r="G209" t="s">
        <v>16</v>
      </c>
      <c r="H209">
        <v>68.959999999999994</v>
      </c>
      <c r="I209">
        <v>654</v>
      </c>
      <c r="J209">
        <v>45099.839999999997</v>
      </c>
      <c r="K209" t="s">
        <v>24</v>
      </c>
    </row>
    <row r="210" spans="1:11" x14ac:dyDescent="0.35">
      <c r="A210" t="s">
        <v>250</v>
      </c>
      <c r="B210" t="s">
        <v>33</v>
      </c>
      <c r="C210" s="1">
        <v>44928</v>
      </c>
      <c r="D210" t="s">
        <v>13</v>
      </c>
      <c r="E210" t="s">
        <v>14</v>
      </c>
      <c r="F210" t="s">
        <v>15</v>
      </c>
      <c r="G210" t="s">
        <v>23</v>
      </c>
      <c r="H210">
        <v>32.15</v>
      </c>
      <c r="I210">
        <v>1081</v>
      </c>
      <c r="J210">
        <v>34754.15</v>
      </c>
      <c r="K210" t="s">
        <v>31</v>
      </c>
    </row>
    <row r="211" spans="1:11" x14ac:dyDescent="0.35">
      <c r="A211" t="s">
        <v>251</v>
      </c>
      <c r="B211" t="s">
        <v>39</v>
      </c>
      <c r="C211" s="1">
        <v>44993</v>
      </c>
      <c r="D211" t="s">
        <v>20</v>
      </c>
      <c r="E211" t="s">
        <v>21</v>
      </c>
      <c r="F211" t="s">
        <v>22</v>
      </c>
      <c r="G211" t="s">
        <v>30</v>
      </c>
      <c r="H211">
        <v>44.76</v>
      </c>
      <c r="I211">
        <v>765</v>
      </c>
      <c r="J211">
        <v>34241.4</v>
      </c>
      <c r="K211" t="s">
        <v>17</v>
      </c>
    </row>
    <row r="212" spans="1:11" x14ac:dyDescent="0.35">
      <c r="A212" t="s">
        <v>252</v>
      </c>
      <c r="B212" t="s">
        <v>12</v>
      </c>
      <c r="C212" s="1">
        <v>44982</v>
      </c>
      <c r="D212" t="s">
        <v>27</v>
      </c>
      <c r="E212" t="s">
        <v>28</v>
      </c>
      <c r="F212" t="s">
        <v>29</v>
      </c>
      <c r="G212" t="s">
        <v>44</v>
      </c>
      <c r="H212">
        <v>57.64</v>
      </c>
      <c r="I212">
        <v>932</v>
      </c>
      <c r="J212">
        <v>53720.480000000003</v>
      </c>
      <c r="K212" t="s">
        <v>24</v>
      </c>
    </row>
    <row r="213" spans="1:11" x14ac:dyDescent="0.35">
      <c r="A213" t="s">
        <v>253</v>
      </c>
      <c r="B213" t="s">
        <v>19</v>
      </c>
      <c r="C213" s="1">
        <v>44953</v>
      </c>
      <c r="D213" t="s">
        <v>40</v>
      </c>
      <c r="E213" t="s">
        <v>41</v>
      </c>
      <c r="F213" t="s">
        <v>42</v>
      </c>
      <c r="G213" t="s">
        <v>37</v>
      </c>
      <c r="H213">
        <v>31.23</v>
      </c>
      <c r="I213">
        <v>506</v>
      </c>
      <c r="J213">
        <v>15802.38</v>
      </c>
      <c r="K213" t="s">
        <v>31</v>
      </c>
    </row>
    <row r="214" spans="1:11" x14ac:dyDescent="0.35">
      <c r="A214" t="s">
        <v>254</v>
      </c>
      <c r="B214" t="s">
        <v>26</v>
      </c>
      <c r="C214" s="1">
        <v>45000</v>
      </c>
      <c r="D214" t="s">
        <v>34</v>
      </c>
      <c r="E214" t="s">
        <v>35</v>
      </c>
      <c r="F214" t="s">
        <v>36</v>
      </c>
      <c r="G214" t="s">
        <v>30</v>
      </c>
      <c r="H214">
        <v>62.08</v>
      </c>
      <c r="I214">
        <v>760</v>
      </c>
      <c r="J214">
        <v>47180.800000000003</v>
      </c>
      <c r="K214" t="s">
        <v>17</v>
      </c>
    </row>
    <row r="215" spans="1:11" x14ac:dyDescent="0.35">
      <c r="A215" t="s">
        <v>255</v>
      </c>
      <c r="B215" t="s">
        <v>33</v>
      </c>
      <c r="C215" s="1">
        <v>44958</v>
      </c>
      <c r="D215" t="s">
        <v>13</v>
      </c>
      <c r="E215" t="s">
        <v>14</v>
      </c>
      <c r="F215" t="s">
        <v>15</v>
      </c>
      <c r="G215" t="s">
        <v>23</v>
      </c>
      <c r="H215">
        <v>38.49</v>
      </c>
      <c r="I215">
        <v>867</v>
      </c>
      <c r="J215">
        <v>33370.83</v>
      </c>
      <c r="K215" t="s">
        <v>24</v>
      </c>
    </row>
    <row r="216" spans="1:11" x14ac:dyDescent="0.35">
      <c r="A216" t="s">
        <v>256</v>
      </c>
      <c r="B216" t="s">
        <v>39</v>
      </c>
      <c r="C216" s="1">
        <v>44937</v>
      </c>
      <c r="D216" t="s">
        <v>20</v>
      </c>
      <c r="E216" t="s">
        <v>21</v>
      </c>
      <c r="F216" t="s">
        <v>22</v>
      </c>
      <c r="G216" t="s">
        <v>16</v>
      </c>
      <c r="H216">
        <v>80.12</v>
      </c>
      <c r="I216">
        <v>746</v>
      </c>
      <c r="J216">
        <v>59769.52</v>
      </c>
      <c r="K216" t="s">
        <v>31</v>
      </c>
    </row>
    <row r="217" spans="1:11" x14ac:dyDescent="0.35">
      <c r="A217" t="s">
        <v>257</v>
      </c>
      <c r="B217" t="s">
        <v>12</v>
      </c>
      <c r="C217" s="1">
        <v>44988</v>
      </c>
      <c r="D217" t="s">
        <v>27</v>
      </c>
      <c r="E217" t="s">
        <v>28</v>
      </c>
      <c r="F217" t="s">
        <v>29</v>
      </c>
      <c r="G217" t="s">
        <v>30</v>
      </c>
      <c r="H217">
        <v>26.37</v>
      </c>
      <c r="I217">
        <v>1025</v>
      </c>
      <c r="J217">
        <v>27029.25</v>
      </c>
      <c r="K217" t="s">
        <v>17</v>
      </c>
    </row>
    <row r="218" spans="1:11" x14ac:dyDescent="0.35">
      <c r="A218" t="s">
        <v>258</v>
      </c>
      <c r="B218" t="s">
        <v>19</v>
      </c>
      <c r="C218" s="1">
        <v>44977</v>
      </c>
      <c r="D218" t="s">
        <v>40</v>
      </c>
      <c r="E218" t="s">
        <v>41</v>
      </c>
      <c r="F218" t="s">
        <v>42</v>
      </c>
      <c r="G218" t="s">
        <v>44</v>
      </c>
      <c r="H218">
        <v>54.18</v>
      </c>
      <c r="I218">
        <v>1151</v>
      </c>
      <c r="J218">
        <v>62361.18</v>
      </c>
      <c r="K218" t="s">
        <v>24</v>
      </c>
    </row>
    <row r="219" spans="1:11" x14ac:dyDescent="0.35">
      <c r="A219" t="s">
        <v>259</v>
      </c>
      <c r="B219" t="s">
        <v>26</v>
      </c>
      <c r="C219" s="1">
        <v>44934</v>
      </c>
      <c r="D219" t="s">
        <v>34</v>
      </c>
      <c r="E219" t="s">
        <v>48</v>
      </c>
      <c r="F219" t="s">
        <v>49</v>
      </c>
      <c r="G219" t="s">
        <v>37</v>
      </c>
      <c r="H219">
        <v>68.52</v>
      </c>
      <c r="I219">
        <v>956</v>
      </c>
      <c r="J219">
        <v>65505.120000000003</v>
      </c>
      <c r="K219" t="s">
        <v>31</v>
      </c>
    </row>
    <row r="220" spans="1:11" x14ac:dyDescent="0.35">
      <c r="A220" t="s">
        <v>260</v>
      </c>
      <c r="B220" t="s">
        <v>33</v>
      </c>
      <c r="C220" s="1">
        <v>44987</v>
      </c>
      <c r="D220" t="s">
        <v>13</v>
      </c>
      <c r="E220" t="s">
        <v>14</v>
      </c>
      <c r="F220" t="s">
        <v>15</v>
      </c>
      <c r="G220" t="s">
        <v>16</v>
      </c>
      <c r="H220">
        <v>39.28</v>
      </c>
      <c r="I220">
        <v>751</v>
      </c>
      <c r="J220">
        <v>29499.279999999999</v>
      </c>
      <c r="K220" t="s">
        <v>17</v>
      </c>
    </row>
    <row r="221" spans="1:11" x14ac:dyDescent="0.35">
      <c r="A221" t="s">
        <v>261</v>
      </c>
      <c r="B221" t="s">
        <v>39</v>
      </c>
      <c r="C221" s="1">
        <v>44964</v>
      </c>
      <c r="D221" t="s">
        <v>20</v>
      </c>
      <c r="E221" t="s">
        <v>21</v>
      </c>
      <c r="F221" t="s">
        <v>22</v>
      </c>
      <c r="G221" t="s">
        <v>23</v>
      </c>
      <c r="H221">
        <v>45.91</v>
      </c>
      <c r="I221">
        <v>799</v>
      </c>
      <c r="J221">
        <v>36682.089999999997</v>
      </c>
      <c r="K221" t="s">
        <v>24</v>
      </c>
    </row>
    <row r="222" spans="1:11" x14ac:dyDescent="0.35">
      <c r="A222" t="s">
        <v>262</v>
      </c>
      <c r="B222" t="s">
        <v>12</v>
      </c>
      <c r="C222" s="1">
        <v>44927</v>
      </c>
      <c r="D222" t="s">
        <v>27</v>
      </c>
      <c r="E222" t="s">
        <v>28</v>
      </c>
      <c r="F222" t="s">
        <v>29</v>
      </c>
      <c r="G222" t="s">
        <v>30</v>
      </c>
      <c r="H222">
        <v>22.47</v>
      </c>
      <c r="I222">
        <v>1154</v>
      </c>
      <c r="J222">
        <v>25930.38</v>
      </c>
      <c r="K222" t="s">
        <v>31</v>
      </c>
    </row>
    <row r="223" spans="1:11" x14ac:dyDescent="0.35">
      <c r="A223" t="s">
        <v>263</v>
      </c>
      <c r="B223" t="s">
        <v>19</v>
      </c>
      <c r="C223" s="1">
        <v>45004</v>
      </c>
      <c r="D223" t="s">
        <v>40</v>
      </c>
      <c r="E223" t="s">
        <v>41</v>
      </c>
      <c r="F223" t="s">
        <v>42</v>
      </c>
      <c r="G223" t="s">
        <v>37</v>
      </c>
      <c r="H223">
        <v>75.349999999999994</v>
      </c>
      <c r="I223">
        <v>813</v>
      </c>
      <c r="J223">
        <v>61259.55</v>
      </c>
      <c r="K223" t="s">
        <v>17</v>
      </c>
    </row>
    <row r="224" spans="1:11" x14ac:dyDescent="0.35">
      <c r="A224" t="s">
        <v>264</v>
      </c>
      <c r="B224" t="s">
        <v>26</v>
      </c>
      <c r="C224" s="1">
        <v>44971</v>
      </c>
      <c r="D224" t="s">
        <v>34</v>
      </c>
      <c r="E224" t="s">
        <v>35</v>
      </c>
      <c r="F224" t="s">
        <v>36</v>
      </c>
      <c r="G224" t="s">
        <v>30</v>
      </c>
      <c r="H224">
        <v>34.29</v>
      </c>
      <c r="I224">
        <v>746</v>
      </c>
      <c r="J224">
        <v>25580.34</v>
      </c>
      <c r="K224" t="s">
        <v>24</v>
      </c>
    </row>
    <row r="225" spans="1:11" x14ac:dyDescent="0.35">
      <c r="A225" t="s">
        <v>265</v>
      </c>
      <c r="B225" t="s">
        <v>33</v>
      </c>
      <c r="C225" s="1">
        <v>44953</v>
      </c>
      <c r="D225" t="s">
        <v>13</v>
      </c>
      <c r="E225" t="s">
        <v>14</v>
      </c>
      <c r="F225" t="s">
        <v>15</v>
      </c>
      <c r="G225" t="s">
        <v>44</v>
      </c>
      <c r="H225">
        <v>51.68</v>
      </c>
      <c r="I225">
        <v>1002</v>
      </c>
      <c r="J225">
        <v>51783.360000000001</v>
      </c>
      <c r="K225" t="s">
        <v>31</v>
      </c>
    </row>
    <row r="226" spans="1:11" x14ac:dyDescent="0.35">
      <c r="A226" t="s">
        <v>266</v>
      </c>
      <c r="B226" t="s">
        <v>39</v>
      </c>
      <c r="C226" s="1">
        <v>44997</v>
      </c>
      <c r="D226" t="s">
        <v>20</v>
      </c>
      <c r="E226" t="s">
        <v>21</v>
      </c>
      <c r="F226" t="s">
        <v>22</v>
      </c>
      <c r="G226" t="s">
        <v>16</v>
      </c>
      <c r="H226">
        <v>29.75</v>
      </c>
      <c r="I226">
        <v>977</v>
      </c>
      <c r="J226">
        <v>29065.75</v>
      </c>
      <c r="K226" t="s">
        <v>17</v>
      </c>
    </row>
    <row r="227" spans="1:11" x14ac:dyDescent="0.35">
      <c r="A227" t="s">
        <v>267</v>
      </c>
      <c r="B227" t="s">
        <v>12</v>
      </c>
      <c r="C227" s="1">
        <v>44963</v>
      </c>
      <c r="D227" t="s">
        <v>27</v>
      </c>
      <c r="E227" t="s">
        <v>28</v>
      </c>
      <c r="F227" t="s">
        <v>29</v>
      </c>
      <c r="G227" t="s">
        <v>23</v>
      </c>
      <c r="H227">
        <v>83.47</v>
      </c>
      <c r="I227">
        <v>932</v>
      </c>
      <c r="J227">
        <v>77794.039999999994</v>
      </c>
      <c r="K227" t="s">
        <v>24</v>
      </c>
    </row>
    <row r="228" spans="1:11" x14ac:dyDescent="0.35">
      <c r="A228" t="s">
        <v>268</v>
      </c>
      <c r="B228" t="s">
        <v>19</v>
      </c>
      <c r="C228" s="1">
        <v>44934</v>
      </c>
      <c r="D228" t="s">
        <v>40</v>
      </c>
      <c r="E228" t="s">
        <v>41</v>
      </c>
      <c r="F228" t="s">
        <v>42</v>
      </c>
      <c r="G228" t="s">
        <v>30</v>
      </c>
      <c r="H228">
        <v>40.130000000000003</v>
      </c>
      <c r="I228">
        <v>885</v>
      </c>
      <c r="J228">
        <v>35515.050000000003</v>
      </c>
      <c r="K228" t="s">
        <v>31</v>
      </c>
    </row>
    <row r="229" spans="1:11" x14ac:dyDescent="0.35">
      <c r="A229" t="s">
        <v>269</v>
      </c>
      <c r="B229" t="s">
        <v>26</v>
      </c>
      <c r="C229" s="1">
        <v>45009</v>
      </c>
      <c r="D229" t="s">
        <v>34</v>
      </c>
      <c r="E229" t="s">
        <v>48</v>
      </c>
      <c r="F229" t="s">
        <v>49</v>
      </c>
      <c r="G229" t="s">
        <v>37</v>
      </c>
      <c r="H229">
        <v>54.92</v>
      </c>
      <c r="I229">
        <v>1080</v>
      </c>
      <c r="J229">
        <v>59313.599999999999</v>
      </c>
      <c r="K229" t="s">
        <v>17</v>
      </c>
    </row>
    <row r="230" spans="1:11" x14ac:dyDescent="0.35">
      <c r="A230" t="s">
        <v>270</v>
      </c>
      <c r="B230" t="s">
        <v>33</v>
      </c>
      <c r="C230" s="1">
        <v>44969</v>
      </c>
      <c r="D230" t="s">
        <v>13</v>
      </c>
      <c r="E230" t="s">
        <v>14</v>
      </c>
      <c r="F230" t="s">
        <v>15</v>
      </c>
      <c r="G230" t="s">
        <v>16</v>
      </c>
      <c r="H230">
        <v>62.79</v>
      </c>
      <c r="I230">
        <v>668</v>
      </c>
      <c r="J230">
        <v>41943.72</v>
      </c>
      <c r="K230" t="s">
        <v>24</v>
      </c>
    </row>
    <row r="231" spans="1:11" x14ac:dyDescent="0.35">
      <c r="A231" t="s">
        <v>271</v>
      </c>
      <c r="B231" t="s">
        <v>39</v>
      </c>
      <c r="C231" s="1">
        <v>44927</v>
      </c>
      <c r="D231" t="s">
        <v>20</v>
      </c>
      <c r="E231" t="s">
        <v>21</v>
      </c>
      <c r="F231" t="s">
        <v>22</v>
      </c>
      <c r="G231" t="s">
        <v>44</v>
      </c>
      <c r="H231">
        <v>26.35</v>
      </c>
      <c r="I231">
        <v>478</v>
      </c>
      <c r="J231">
        <v>12595.3</v>
      </c>
      <c r="K231" t="s">
        <v>31</v>
      </c>
    </row>
    <row r="232" spans="1:11" x14ac:dyDescent="0.35">
      <c r="A232" t="s">
        <v>272</v>
      </c>
      <c r="B232" t="s">
        <v>12</v>
      </c>
      <c r="C232" s="1">
        <v>45004</v>
      </c>
      <c r="D232" t="s">
        <v>27</v>
      </c>
      <c r="E232" t="s">
        <v>28</v>
      </c>
      <c r="F232" t="s">
        <v>29</v>
      </c>
      <c r="G232" t="s">
        <v>30</v>
      </c>
      <c r="H232">
        <v>47.21</v>
      </c>
      <c r="I232">
        <v>915</v>
      </c>
      <c r="J232">
        <v>43197.15</v>
      </c>
      <c r="K232" t="s">
        <v>17</v>
      </c>
    </row>
    <row r="233" spans="1:11" x14ac:dyDescent="0.35">
      <c r="A233" t="s">
        <v>273</v>
      </c>
      <c r="B233" t="s">
        <v>19</v>
      </c>
      <c r="C233" s="1">
        <v>44963</v>
      </c>
      <c r="D233" t="s">
        <v>40</v>
      </c>
      <c r="E233" t="s">
        <v>41</v>
      </c>
      <c r="F233" t="s">
        <v>42</v>
      </c>
      <c r="G233" t="s">
        <v>23</v>
      </c>
      <c r="H233">
        <v>64.260000000000005</v>
      </c>
      <c r="I233">
        <v>1003</v>
      </c>
      <c r="J233">
        <v>64452.78</v>
      </c>
      <c r="K233" t="s">
        <v>24</v>
      </c>
    </row>
    <row r="234" spans="1:11" x14ac:dyDescent="0.35">
      <c r="A234" t="s">
        <v>274</v>
      </c>
      <c r="B234" t="s">
        <v>26</v>
      </c>
      <c r="C234" s="1">
        <v>44957</v>
      </c>
      <c r="D234" t="s">
        <v>34</v>
      </c>
      <c r="E234" t="s">
        <v>35</v>
      </c>
      <c r="F234" t="s">
        <v>36</v>
      </c>
      <c r="G234" t="s">
        <v>50</v>
      </c>
      <c r="H234">
        <v>28.19</v>
      </c>
      <c r="I234">
        <v>1025</v>
      </c>
      <c r="J234">
        <v>28894.75</v>
      </c>
      <c r="K234" t="s">
        <v>31</v>
      </c>
    </row>
    <row r="235" spans="1:11" x14ac:dyDescent="0.35">
      <c r="A235" t="s">
        <v>275</v>
      </c>
      <c r="B235" t="s">
        <v>33</v>
      </c>
      <c r="C235" s="1">
        <v>45001</v>
      </c>
      <c r="D235" t="s">
        <v>13</v>
      </c>
      <c r="E235" t="s">
        <v>14</v>
      </c>
      <c r="F235" t="s">
        <v>15</v>
      </c>
      <c r="G235" t="s">
        <v>16</v>
      </c>
      <c r="H235">
        <v>81.239999999999995</v>
      </c>
      <c r="I235">
        <v>1096</v>
      </c>
      <c r="J235">
        <v>89039.039999999994</v>
      </c>
      <c r="K235" t="s">
        <v>17</v>
      </c>
    </row>
    <row r="236" spans="1:11" x14ac:dyDescent="0.35">
      <c r="A236" t="s">
        <v>276</v>
      </c>
      <c r="B236" t="s">
        <v>39</v>
      </c>
      <c r="C236" s="1">
        <v>44966</v>
      </c>
      <c r="D236" t="s">
        <v>20</v>
      </c>
      <c r="E236" t="s">
        <v>21</v>
      </c>
      <c r="F236" t="s">
        <v>22</v>
      </c>
      <c r="G236" t="s">
        <v>30</v>
      </c>
      <c r="H236">
        <v>35.67</v>
      </c>
      <c r="I236">
        <v>722</v>
      </c>
      <c r="J236">
        <v>25753.74</v>
      </c>
      <c r="K236" t="s">
        <v>24</v>
      </c>
    </row>
    <row r="237" spans="1:11" x14ac:dyDescent="0.35">
      <c r="A237" t="s">
        <v>277</v>
      </c>
      <c r="B237" t="s">
        <v>12</v>
      </c>
      <c r="C237" s="1">
        <v>44954</v>
      </c>
      <c r="D237" t="s">
        <v>27</v>
      </c>
      <c r="E237" t="s">
        <v>28</v>
      </c>
      <c r="F237" t="s">
        <v>29</v>
      </c>
      <c r="G237" t="s">
        <v>37</v>
      </c>
      <c r="H237">
        <v>59.83</v>
      </c>
      <c r="I237">
        <v>986</v>
      </c>
      <c r="J237">
        <v>58992.38</v>
      </c>
      <c r="K237" t="s">
        <v>31</v>
      </c>
    </row>
    <row r="238" spans="1:11" x14ac:dyDescent="0.35">
      <c r="A238" t="s">
        <v>278</v>
      </c>
      <c r="B238" t="s">
        <v>19</v>
      </c>
      <c r="C238" s="1">
        <v>44998</v>
      </c>
      <c r="D238" t="s">
        <v>40</v>
      </c>
      <c r="E238" t="s">
        <v>41</v>
      </c>
      <c r="F238" t="s">
        <v>42</v>
      </c>
      <c r="G238" t="s">
        <v>30</v>
      </c>
      <c r="H238">
        <v>41.94</v>
      </c>
      <c r="I238">
        <v>1191</v>
      </c>
      <c r="J238">
        <v>49950.54</v>
      </c>
      <c r="K238" t="s">
        <v>17</v>
      </c>
    </row>
    <row r="239" spans="1:11" x14ac:dyDescent="0.35">
      <c r="A239" t="s">
        <v>279</v>
      </c>
      <c r="B239" t="s">
        <v>26</v>
      </c>
      <c r="C239" s="1">
        <v>44971</v>
      </c>
      <c r="D239" t="s">
        <v>34</v>
      </c>
      <c r="E239" t="s">
        <v>48</v>
      </c>
      <c r="F239" t="s">
        <v>49</v>
      </c>
      <c r="G239" t="s">
        <v>50</v>
      </c>
      <c r="H239">
        <v>32.08</v>
      </c>
      <c r="I239">
        <v>889</v>
      </c>
      <c r="J239">
        <v>28519.119999999999</v>
      </c>
      <c r="K239" t="s">
        <v>24</v>
      </c>
    </row>
    <row r="240" spans="1:11" x14ac:dyDescent="0.35">
      <c r="A240" t="s">
        <v>280</v>
      </c>
      <c r="B240" t="s">
        <v>33</v>
      </c>
      <c r="C240" s="1">
        <v>44937</v>
      </c>
      <c r="D240" t="s">
        <v>13</v>
      </c>
      <c r="E240" t="s">
        <v>14</v>
      </c>
      <c r="F240" t="s">
        <v>15</v>
      </c>
      <c r="G240" t="s">
        <v>44</v>
      </c>
      <c r="H240">
        <v>75.19</v>
      </c>
      <c r="I240">
        <v>765</v>
      </c>
      <c r="J240">
        <v>57520.35</v>
      </c>
      <c r="K240" t="s">
        <v>31</v>
      </c>
    </row>
    <row r="241" spans="1:11" x14ac:dyDescent="0.35">
      <c r="A241" t="s">
        <v>281</v>
      </c>
      <c r="B241" t="s">
        <v>39</v>
      </c>
      <c r="C241" s="1">
        <v>44994</v>
      </c>
      <c r="D241" t="s">
        <v>20</v>
      </c>
      <c r="E241" t="s">
        <v>21</v>
      </c>
      <c r="F241" t="s">
        <v>22</v>
      </c>
      <c r="G241" t="s">
        <v>16</v>
      </c>
      <c r="H241">
        <v>47.84</v>
      </c>
      <c r="I241">
        <v>1102</v>
      </c>
      <c r="J241">
        <v>52719.68</v>
      </c>
      <c r="K241" t="s">
        <v>17</v>
      </c>
    </row>
    <row r="242" spans="1:11" x14ac:dyDescent="0.35">
      <c r="A242" t="s">
        <v>282</v>
      </c>
      <c r="B242" t="s">
        <v>12</v>
      </c>
      <c r="C242" s="1">
        <v>44980</v>
      </c>
      <c r="D242" t="s">
        <v>27</v>
      </c>
      <c r="E242" t="s">
        <v>28</v>
      </c>
      <c r="F242" t="s">
        <v>29</v>
      </c>
      <c r="G242" t="s">
        <v>23</v>
      </c>
      <c r="H242">
        <v>28.46</v>
      </c>
      <c r="I242">
        <v>666</v>
      </c>
      <c r="J242">
        <v>18954.36</v>
      </c>
      <c r="K242" t="s">
        <v>24</v>
      </c>
    </row>
    <row r="243" spans="1:11" x14ac:dyDescent="0.35">
      <c r="A243" t="s">
        <v>283</v>
      </c>
      <c r="B243" t="s">
        <v>19</v>
      </c>
      <c r="C243" s="1">
        <v>44938</v>
      </c>
      <c r="D243" t="s">
        <v>40</v>
      </c>
      <c r="E243" t="s">
        <v>41</v>
      </c>
      <c r="F243" t="s">
        <v>42</v>
      </c>
      <c r="G243" t="s">
        <v>37</v>
      </c>
      <c r="H243">
        <v>63.32</v>
      </c>
      <c r="I243">
        <v>1093</v>
      </c>
      <c r="J243">
        <v>69208.759999999995</v>
      </c>
      <c r="K243" t="s">
        <v>31</v>
      </c>
    </row>
    <row r="244" spans="1:11" x14ac:dyDescent="0.35">
      <c r="A244" t="s">
        <v>284</v>
      </c>
      <c r="B244" t="s">
        <v>26</v>
      </c>
      <c r="C244" s="1">
        <v>45014</v>
      </c>
      <c r="D244" t="s">
        <v>34</v>
      </c>
      <c r="E244" t="s">
        <v>35</v>
      </c>
      <c r="F244" t="s">
        <v>36</v>
      </c>
      <c r="G244" t="s">
        <v>30</v>
      </c>
      <c r="H244">
        <v>34.979999999999997</v>
      </c>
      <c r="I244">
        <v>985</v>
      </c>
      <c r="J244">
        <v>34455.300000000003</v>
      </c>
      <c r="K244" t="s">
        <v>17</v>
      </c>
    </row>
    <row r="245" spans="1:11" x14ac:dyDescent="0.35">
      <c r="A245" t="s">
        <v>285</v>
      </c>
      <c r="B245" t="s">
        <v>33</v>
      </c>
      <c r="C245" s="1">
        <v>44969</v>
      </c>
      <c r="D245" t="s">
        <v>13</v>
      </c>
      <c r="E245" t="s">
        <v>14</v>
      </c>
      <c r="F245" t="s">
        <v>15</v>
      </c>
      <c r="G245" t="s">
        <v>16</v>
      </c>
      <c r="H245">
        <v>51.57</v>
      </c>
      <c r="I245">
        <v>829</v>
      </c>
      <c r="J245">
        <v>42751.53</v>
      </c>
      <c r="K245" t="s">
        <v>24</v>
      </c>
    </row>
    <row r="246" spans="1:11" x14ac:dyDescent="0.35">
      <c r="A246" t="s">
        <v>286</v>
      </c>
      <c r="B246" t="s">
        <v>39</v>
      </c>
      <c r="C246" s="1">
        <v>44933</v>
      </c>
      <c r="D246" t="s">
        <v>20</v>
      </c>
      <c r="E246" t="s">
        <v>21</v>
      </c>
      <c r="F246" t="s">
        <v>22</v>
      </c>
      <c r="G246" t="s">
        <v>23</v>
      </c>
      <c r="H246">
        <v>69.650000000000006</v>
      </c>
      <c r="I246">
        <v>925</v>
      </c>
      <c r="J246">
        <v>64426.25</v>
      </c>
      <c r="K246" t="s">
        <v>31</v>
      </c>
    </row>
    <row r="247" spans="1:11" x14ac:dyDescent="0.35">
      <c r="A247" t="s">
        <v>287</v>
      </c>
      <c r="B247" t="s">
        <v>12</v>
      </c>
      <c r="C247" s="1">
        <v>44989</v>
      </c>
      <c r="D247" t="s">
        <v>27</v>
      </c>
      <c r="E247" t="s">
        <v>28</v>
      </c>
      <c r="F247" t="s">
        <v>29</v>
      </c>
      <c r="G247" t="s">
        <v>30</v>
      </c>
      <c r="H247">
        <v>38.79</v>
      </c>
      <c r="I247">
        <v>1098</v>
      </c>
      <c r="J247">
        <v>42591.42</v>
      </c>
      <c r="K247" t="s">
        <v>17</v>
      </c>
    </row>
    <row r="248" spans="1:11" x14ac:dyDescent="0.35">
      <c r="A248" t="s">
        <v>288</v>
      </c>
      <c r="B248" t="s">
        <v>19</v>
      </c>
      <c r="C248" s="1">
        <v>44976</v>
      </c>
      <c r="D248" t="s">
        <v>40</v>
      </c>
      <c r="E248" t="s">
        <v>41</v>
      </c>
      <c r="F248" t="s">
        <v>42</v>
      </c>
      <c r="G248" t="s">
        <v>44</v>
      </c>
      <c r="H248">
        <v>22.34</v>
      </c>
      <c r="I248">
        <v>1090</v>
      </c>
      <c r="J248">
        <v>24350.6</v>
      </c>
      <c r="K248" t="s">
        <v>24</v>
      </c>
    </row>
    <row r="249" spans="1:11" x14ac:dyDescent="0.35">
      <c r="A249" t="s">
        <v>289</v>
      </c>
      <c r="B249" t="s">
        <v>26</v>
      </c>
      <c r="C249" s="1">
        <v>44935</v>
      </c>
      <c r="D249" t="s">
        <v>34</v>
      </c>
      <c r="E249" t="s">
        <v>48</v>
      </c>
      <c r="F249" t="s">
        <v>49</v>
      </c>
      <c r="G249" t="s">
        <v>37</v>
      </c>
      <c r="H249">
        <v>56.42</v>
      </c>
      <c r="I249">
        <v>1052</v>
      </c>
      <c r="J249">
        <v>59353.84</v>
      </c>
      <c r="K249" t="s">
        <v>31</v>
      </c>
    </row>
    <row r="250" spans="1:11" x14ac:dyDescent="0.35">
      <c r="A250" t="s">
        <v>290</v>
      </c>
      <c r="B250" t="s">
        <v>33</v>
      </c>
      <c r="C250" s="1">
        <v>45005</v>
      </c>
      <c r="D250" t="s">
        <v>13</v>
      </c>
      <c r="E250" t="s">
        <v>14</v>
      </c>
      <c r="F250" t="s">
        <v>15</v>
      </c>
      <c r="G250" t="s">
        <v>16</v>
      </c>
      <c r="H250">
        <v>44.55</v>
      </c>
      <c r="I250">
        <v>667</v>
      </c>
      <c r="J250">
        <v>29714.85</v>
      </c>
      <c r="K250" t="s">
        <v>17</v>
      </c>
    </row>
    <row r="251" spans="1:11" x14ac:dyDescent="0.35">
      <c r="A251" t="s">
        <v>291</v>
      </c>
      <c r="B251" t="s">
        <v>39</v>
      </c>
      <c r="C251" s="1">
        <v>44963</v>
      </c>
      <c r="D251" t="s">
        <v>20</v>
      </c>
      <c r="E251" t="s">
        <v>21</v>
      </c>
      <c r="F251" t="s">
        <v>22</v>
      </c>
      <c r="G251" t="s">
        <v>30</v>
      </c>
      <c r="H251">
        <v>66.27</v>
      </c>
      <c r="I251">
        <v>1095</v>
      </c>
      <c r="J251">
        <v>72565.649999999994</v>
      </c>
      <c r="K251" t="s">
        <v>24</v>
      </c>
    </row>
    <row r="252" spans="1:11" x14ac:dyDescent="0.35">
      <c r="A252" t="s">
        <v>292</v>
      </c>
      <c r="B252" t="s">
        <v>12</v>
      </c>
      <c r="C252" s="1">
        <v>44928</v>
      </c>
      <c r="D252" t="s">
        <v>27</v>
      </c>
      <c r="E252" t="s">
        <v>28</v>
      </c>
      <c r="F252" t="s">
        <v>29</v>
      </c>
      <c r="G252" t="s">
        <v>37</v>
      </c>
      <c r="H252">
        <v>47.28</v>
      </c>
      <c r="I252">
        <v>856</v>
      </c>
      <c r="J252">
        <v>40471.68</v>
      </c>
      <c r="K252" t="s">
        <v>31</v>
      </c>
    </row>
    <row r="253" spans="1:11" x14ac:dyDescent="0.35">
      <c r="A253" t="s">
        <v>293</v>
      </c>
      <c r="B253" t="s">
        <v>19</v>
      </c>
      <c r="C253" s="1">
        <v>44994</v>
      </c>
      <c r="D253" t="s">
        <v>40</v>
      </c>
      <c r="E253" t="s">
        <v>41</v>
      </c>
      <c r="F253" t="s">
        <v>42</v>
      </c>
      <c r="G253" t="s">
        <v>16</v>
      </c>
      <c r="H253">
        <v>29.43</v>
      </c>
      <c r="I253">
        <v>1173</v>
      </c>
      <c r="J253">
        <v>34521.39</v>
      </c>
      <c r="K253" t="s">
        <v>17</v>
      </c>
    </row>
    <row r="254" spans="1:11" x14ac:dyDescent="0.35">
      <c r="A254" t="s">
        <v>294</v>
      </c>
      <c r="B254" t="s">
        <v>26</v>
      </c>
      <c r="C254" s="1">
        <v>44958</v>
      </c>
      <c r="D254" t="s">
        <v>34</v>
      </c>
      <c r="E254" t="s">
        <v>35</v>
      </c>
      <c r="F254" t="s">
        <v>36</v>
      </c>
      <c r="G254" t="s">
        <v>23</v>
      </c>
      <c r="H254">
        <v>52.17</v>
      </c>
      <c r="I254">
        <v>997</v>
      </c>
      <c r="J254">
        <v>52013.49</v>
      </c>
      <c r="K254" t="s">
        <v>24</v>
      </c>
    </row>
    <row r="255" spans="1:11" x14ac:dyDescent="0.35">
      <c r="A255" t="s">
        <v>295</v>
      </c>
      <c r="B255" t="s">
        <v>33</v>
      </c>
      <c r="C255" s="1">
        <v>45011</v>
      </c>
      <c r="D255" t="s">
        <v>13</v>
      </c>
      <c r="E255" t="s">
        <v>14</v>
      </c>
      <c r="F255" t="s">
        <v>15</v>
      </c>
      <c r="G255" t="s">
        <v>30</v>
      </c>
      <c r="H255">
        <v>37.56</v>
      </c>
      <c r="I255">
        <v>986</v>
      </c>
      <c r="J255">
        <v>37034.160000000003</v>
      </c>
      <c r="K255" t="s">
        <v>31</v>
      </c>
    </row>
    <row r="256" spans="1:11" x14ac:dyDescent="0.35">
      <c r="A256" t="s">
        <v>296</v>
      </c>
      <c r="B256" t="s">
        <v>39</v>
      </c>
      <c r="C256" s="1">
        <v>44946</v>
      </c>
      <c r="D256" t="s">
        <v>20</v>
      </c>
      <c r="E256" t="s">
        <v>21</v>
      </c>
      <c r="F256" t="s">
        <v>22</v>
      </c>
      <c r="G256" t="s">
        <v>44</v>
      </c>
      <c r="H256">
        <v>84.71</v>
      </c>
      <c r="I256">
        <v>1087</v>
      </c>
      <c r="J256">
        <v>92079.77</v>
      </c>
      <c r="K256" t="s">
        <v>17</v>
      </c>
    </row>
    <row r="257" spans="1:11" x14ac:dyDescent="0.35">
      <c r="A257" t="s">
        <v>297</v>
      </c>
      <c r="B257" t="s">
        <v>12</v>
      </c>
      <c r="C257" s="1">
        <v>45002</v>
      </c>
      <c r="D257" t="s">
        <v>27</v>
      </c>
      <c r="E257" t="s">
        <v>28</v>
      </c>
      <c r="F257" t="s">
        <v>29</v>
      </c>
      <c r="G257" t="s">
        <v>30</v>
      </c>
      <c r="H257">
        <v>31.69</v>
      </c>
      <c r="I257">
        <v>876</v>
      </c>
      <c r="J257">
        <v>27760.44</v>
      </c>
      <c r="K257" t="s">
        <v>24</v>
      </c>
    </row>
    <row r="258" spans="1:11" x14ac:dyDescent="0.35">
      <c r="A258" t="s">
        <v>298</v>
      </c>
      <c r="B258" t="s">
        <v>19</v>
      </c>
      <c r="C258" s="1">
        <v>44970</v>
      </c>
      <c r="D258" t="s">
        <v>40</v>
      </c>
      <c r="E258" t="s">
        <v>41</v>
      </c>
      <c r="F258" t="s">
        <v>42</v>
      </c>
      <c r="G258" t="s">
        <v>37</v>
      </c>
      <c r="H258">
        <v>48.42</v>
      </c>
      <c r="I258">
        <v>794</v>
      </c>
      <c r="J258">
        <v>38445.480000000003</v>
      </c>
      <c r="K258" t="s">
        <v>31</v>
      </c>
    </row>
    <row r="259" spans="1:11" x14ac:dyDescent="0.35">
      <c r="A259" t="s">
        <v>299</v>
      </c>
      <c r="B259" t="s">
        <v>26</v>
      </c>
      <c r="C259" s="1">
        <v>44934</v>
      </c>
      <c r="D259" t="s">
        <v>34</v>
      </c>
      <c r="E259" t="s">
        <v>48</v>
      </c>
      <c r="F259" t="s">
        <v>49</v>
      </c>
      <c r="G259" t="s">
        <v>16</v>
      </c>
      <c r="H259">
        <v>65.180000000000007</v>
      </c>
      <c r="I259">
        <v>1158</v>
      </c>
      <c r="J259">
        <v>75478.44</v>
      </c>
      <c r="K259" t="s">
        <v>17</v>
      </c>
    </row>
    <row r="260" spans="1:11" x14ac:dyDescent="0.35">
      <c r="A260" t="s">
        <v>300</v>
      </c>
      <c r="B260" t="s">
        <v>33</v>
      </c>
      <c r="C260" s="1">
        <v>44999</v>
      </c>
      <c r="D260" t="s">
        <v>13</v>
      </c>
      <c r="E260" t="s">
        <v>14</v>
      </c>
      <c r="F260" t="s">
        <v>15</v>
      </c>
      <c r="G260" t="s">
        <v>50</v>
      </c>
      <c r="H260">
        <v>21.84</v>
      </c>
      <c r="I260">
        <v>888</v>
      </c>
      <c r="J260">
        <v>19393.919999999998</v>
      </c>
      <c r="K260" t="s">
        <v>24</v>
      </c>
    </row>
    <row r="261" spans="1:11" x14ac:dyDescent="0.35">
      <c r="A261" t="s">
        <v>301</v>
      </c>
      <c r="B261" t="s">
        <v>39</v>
      </c>
      <c r="C261" s="1">
        <v>44950</v>
      </c>
      <c r="D261" t="s">
        <v>20</v>
      </c>
      <c r="E261" t="s">
        <v>21</v>
      </c>
      <c r="F261" t="s">
        <v>22</v>
      </c>
      <c r="G261" t="s">
        <v>30</v>
      </c>
      <c r="H261">
        <v>62.91</v>
      </c>
      <c r="I261">
        <v>986</v>
      </c>
      <c r="J261">
        <v>62029.26</v>
      </c>
      <c r="K261" t="s">
        <v>31</v>
      </c>
    </row>
    <row r="262" spans="1:11" x14ac:dyDescent="0.35">
      <c r="A262" t="s">
        <v>302</v>
      </c>
      <c r="B262" t="s">
        <v>12</v>
      </c>
      <c r="C262" s="1">
        <v>44977</v>
      </c>
      <c r="D262" t="s">
        <v>27</v>
      </c>
      <c r="E262" t="s">
        <v>28</v>
      </c>
      <c r="F262" t="s">
        <v>29</v>
      </c>
      <c r="G262" t="s">
        <v>23</v>
      </c>
      <c r="H262">
        <v>48.33</v>
      </c>
      <c r="I262">
        <v>1087</v>
      </c>
      <c r="J262">
        <v>52534.71</v>
      </c>
      <c r="K262" t="s">
        <v>17</v>
      </c>
    </row>
    <row r="263" spans="1:11" x14ac:dyDescent="0.35">
      <c r="A263" t="s">
        <v>303</v>
      </c>
      <c r="B263" t="s">
        <v>19</v>
      </c>
      <c r="C263" s="1">
        <v>44996</v>
      </c>
      <c r="D263" t="s">
        <v>40</v>
      </c>
      <c r="E263" t="s">
        <v>41</v>
      </c>
      <c r="F263" t="s">
        <v>42</v>
      </c>
      <c r="G263" t="s">
        <v>44</v>
      </c>
      <c r="H263">
        <v>25.66</v>
      </c>
      <c r="I263">
        <v>1003</v>
      </c>
      <c r="J263">
        <v>25736.98</v>
      </c>
      <c r="K263" t="s">
        <v>24</v>
      </c>
    </row>
    <row r="264" spans="1:11" x14ac:dyDescent="0.35">
      <c r="A264" t="s">
        <v>304</v>
      </c>
      <c r="B264" t="s">
        <v>26</v>
      </c>
      <c r="C264" s="1">
        <v>44928</v>
      </c>
      <c r="D264" t="s">
        <v>34</v>
      </c>
      <c r="E264" t="s">
        <v>35</v>
      </c>
      <c r="F264" t="s">
        <v>36</v>
      </c>
      <c r="G264" t="s">
        <v>37</v>
      </c>
      <c r="H264">
        <v>73.180000000000007</v>
      </c>
      <c r="I264">
        <v>1026</v>
      </c>
      <c r="J264">
        <v>75082.679999999993</v>
      </c>
      <c r="K264" t="s">
        <v>31</v>
      </c>
    </row>
    <row r="265" spans="1:11" x14ac:dyDescent="0.35">
      <c r="A265" t="s">
        <v>305</v>
      </c>
      <c r="B265" t="s">
        <v>33</v>
      </c>
      <c r="C265" s="1">
        <v>44994</v>
      </c>
      <c r="D265" t="s">
        <v>13</v>
      </c>
      <c r="E265" t="s">
        <v>14</v>
      </c>
      <c r="F265" t="s">
        <v>15</v>
      </c>
      <c r="G265" t="s">
        <v>16</v>
      </c>
      <c r="H265">
        <v>32.54</v>
      </c>
      <c r="I265">
        <v>1052</v>
      </c>
      <c r="J265">
        <v>34232.080000000002</v>
      </c>
      <c r="K265" t="s">
        <v>17</v>
      </c>
    </row>
    <row r="266" spans="1:11" x14ac:dyDescent="0.35">
      <c r="A266" t="s">
        <v>306</v>
      </c>
      <c r="B266" t="s">
        <v>39</v>
      </c>
      <c r="C266" s="1">
        <v>44983</v>
      </c>
      <c r="D266" t="s">
        <v>20</v>
      </c>
      <c r="E266" t="s">
        <v>21</v>
      </c>
      <c r="F266" t="s">
        <v>22</v>
      </c>
      <c r="G266" t="s">
        <v>30</v>
      </c>
      <c r="H266">
        <v>56.79</v>
      </c>
      <c r="I266">
        <v>1168</v>
      </c>
      <c r="J266">
        <v>66330.720000000001</v>
      </c>
      <c r="K266" t="s">
        <v>24</v>
      </c>
    </row>
    <row r="267" spans="1:11" x14ac:dyDescent="0.35">
      <c r="A267" t="s">
        <v>307</v>
      </c>
      <c r="B267" t="s">
        <v>12</v>
      </c>
      <c r="C267" s="1">
        <v>44955</v>
      </c>
      <c r="D267" t="s">
        <v>27</v>
      </c>
      <c r="E267" t="s">
        <v>28</v>
      </c>
      <c r="F267" t="s">
        <v>29</v>
      </c>
      <c r="G267" t="s">
        <v>30</v>
      </c>
      <c r="H267">
        <v>89.63</v>
      </c>
      <c r="I267">
        <v>588</v>
      </c>
      <c r="J267">
        <v>52702.44</v>
      </c>
      <c r="K267" t="s">
        <v>31</v>
      </c>
    </row>
    <row r="268" spans="1:11" x14ac:dyDescent="0.35">
      <c r="A268" t="s">
        <v>308</v>
      </c>
      <c r="B268" t="s">
        <v>19</v>
      </c>
      <c r="C268" s="1">
        <v>45005</v>
      </c>
      <c r="D268" t="s">
        <v>40</v>
      </c>
      <c r="E268" t="s">
        <v>41</v>
      </c>
      <c r="F268" t="s">
        <v>42</v>
      </c>
      <c r="G268" t="s">
        <v>23</v>
      </c>
      <c r="H268">
        <v>34.270000000000003</v>
      </c>
      <c r="I268">
        <v>834</v>
      </c>
      <c r="J268">
        <v>28581.18</v>
      </c>
      <c r="K268" t="s">
        <v>17</v>
      </c>
    </row>
    <row r="269" spans="1:11" x14ac:dyDescent="0.35">
      <c r="A269" t="s">
        <v>309</v>
      </c>
      <c r="B269" t="s">
        <v>26</v>
      </c>
      <c r="C269" s="1">
        <v>44963</v>
      </c>
      <c r="D269" t="s">
        <v>34</v>
      </c>
      <c r="E269" t="s">
        <v>48</v>
      </c>
      <c r="F269" t="s">
        <v>49</v>
      </c>
      <c r="G269" t="s">
        <v>37</v>
      </c>
      <c r="H269">
        <v>62.48</v>
      </c>
      <c r="I269">
        <v>1001</v>
      </c>
      <c r="J269">
        <v>62542.48</v>
      </c>
      <c r="K269" t="s">
        <v>24</v>
      </c>
    </row>
    <row r="270" spans="1:11" x14ac:dyDescent="0.35">
      <c r="A270" t="s">
        <v>310</v>
      </c>
      <c r="B270" t="s">
        <v>33</v>
      </c>
      <c r="C270" s="1">
        <v>44941</v>
      </c>
      <c r="D270" t="s">
        <v>13</v>
      </c>
      <c r="E270" t="s">
        <v>14</v>
      </c>
      <c r="F270" t="s">
        <v>15</v>
      </c>
      <c r="G270" t="s">
        <v>16</v>
      </c>
      <c r="H270">
        <v>41.26</v>
      </c>
      <c r="I270">
        <v>1067</v>
      </c>
      <c r="J270">
        <v>44024.42</v>
      </c>
      <c r="K270" t="s">
        <v>31</v>
      </c>
    </row>
    <row r="271" spans="1:11" x14ac:dyDescent="0.35">
      <c r="A271" t="s">
        <v>311</v>
      </c>
      <c r="B271" t="s">
        <v>39</v>
      </c>
      <c r="C271" s="1">
        <v>44993</v>
      </c>
      <c r="D271" t="s">
        <v>20</v>
      </c>
      <c r="E271" t="s">
        <v>21</v>
      </c>
      <c r="F271" t="s">
        <v>22</v>
      </c>
      <c r="G271" t="s">
        <v>44</v>
      </c>
      <c r="H271">
        <v>69.73</v>
      </c>
      <c r="I271">
        <v>903</v>
      </c>
      <c r="J271">
        <v>62966.19</v>
      </c>
      <c r="K271" t="s">
        <v>17</v>
      </c>
    </row>
    <row r="272" spans="1:11" x14ac:dyDescent="0.35">
      <c r="A272" t="s">
        <v>312</v>
      </c>
      <c r="B272" t="s">
        <v>12</v>
      </c>
      <c r="C272" s="1">
        <v>44958</v>
      </c>
      <c r="D272" t="s">
        <v>27</v>
      </c>
      <c r="E272" t="s">
        <v>28</v>
      </c>
      <c r="F272" t="s">
        <v>29</v>
      </c>
      <c r="G272" t="s">
        <v>30</v>
      </c>
      <c r="H272">
        <v>28.35</v>
      </c>
      <c r="I272">
        <v>1019</v>
      </c>
      <c r="J272">
        <v>28888.65</v>
      </c>
      <c r="K272" t="s">
        <v>24</v>
      </c>
    </row>
    <row r="273" spans="1:11" x14ac:dyDescent="0.35">
      <c r="A273" t="s">
        <v>313</v>
      </c>
      <c r="B273" t="s">
        <v>19</v>
      </c>
      <c r="C273" s="1">
        <v>44935</v>
      </c>
      <c r="D273" t="s">
        <v>40</v>
      </c>
      <c r="E273" t="s">
        <v>41</v>
      </c>
      <c r="F273" t="s">
        <v>42</v>
      </c>
      <c r="G273" t="s">
        <v>37</v>
      </c>
      <c r="H273">
        <v>57.94</v>
      </c>
      <c r="I273">
        <v>694</v>
      </c>
      <c r="J273">
        <v>40210.36</v>
      </c>
      <c r="K273" t="s">
        <v>31</v>
      </c>
    </row>
    <row r="274" spans="1:11" x14ac:dyDescent="0.35">
      <c r="A274" t="s">
        <v>314</v>
      </c>
      <c r="B274" t="s">
        <v>26</v>
      </c>
      <c r="C274" s="1">
        <v>45000</v>
      </c>
      <c r="D274" t="s">
        <v>34</v>
      </c>
      <c r="E274" t="s">
        <v>35</v>
      </c>
      <c r="F274" t="s">
        <v>36</v>
      </c>
      <c r="G274" t="s">
        <v>16</v>
      </c>
      <c r="H274">
        <v>40.619999999999997</v>
      </c>
      <c r="I274">
        <v>834</v>
      </c>
      <c r="J274">
        <v>33877.08</v>
      </c>
      <c r="K274" t="s">
        <v>17</v>
      </c>
    </row>
    <row r="275" spans="1:11" x14ac:dyDescent="0.35">
      <c r="A275" t="s">
        <v>315</v>
      </c>
      <c r="B275" t="s">
        <v>33</v>
      </c>
      <c r="C275" s="1">
        <v>44982</v>
      </c>
      <c r="D275" t="s">
        <v>13</v>
      </c>
      <c r="E275" t="s">
        <v>14</v>
      </c>
      <c r="F275" t="s">
        <v>15</v>
      </c>
      <c r="G275" t="s">
        <v>50</v>
      </c>
      <c r="H275">
        <v>23.47</v>
      </c>
      <c r="I275">
        <v>727</v>
      </c>
      <c r="J275">
        <v>17062.689999999999</v>
      </c>
      <c r="K275" t="s">
        <v>24</v>
      </c>
    </row>
    <row r="276" spans="1:11" x14ac:dyDescent="0.35">
      <c r="A276" t="s">
        <v>316</v>
      </c>
      <c r="B276" t="s">
        <v>39</v>
      </c>
      <c r="C276" s="1">
        <v>44947</v>
      </c>
      <c r="D276" t="s">
        <v>20</v>
      </c>
      <c r="E276" t="s">
        <v>21</v>
      </c>
      <c r="F276" t="s">
        <v>22</v>
      </c>
      <c r="G276" t="s">
        <v>30</v>
      </c>
      <c r="H276">
        <v>49.58</v>
      </c>
      <c r="I276">
        <v>1095</v>
      </c>
      <c r="J276">
        <v>54290.1</v>
      </c>
      <c r="K276" t="s">
        <v>31</v>
      </c>
    </row>
    <row r="277" spans="1:11" x14ac:dyDescent="0.35">
      <c r="A277" t="s">
        <v>317</v>
      </c>
      <c r="B277" t="s">
        <v>12</v>
      </c>
      <c r="C277" s="1">
        <v>44999</v>
      </c>
      <c r="D277" t="s">
        <v>27</v>
      </c>
      <c r="E277" t="s">
        <v>28</v>
      </c>
      <c r="F277" t="s">
        <v>29</v>
      </c>
      <c r="G277" t="s">
        <v>23</v>
      </c>
      <c r="H277">
        <v>77.31</v>
      </c>
      <c r="I277">
        <v>1074</v>
      </c>
      <c r="J277">
        <v>83030.94</v>
      </c>
      <c r="K277" t="s">
        <v>17</v>
      </c>
    </row>
    <row r="278" spans="1:11" x14ac:dyDescent="0.35">
      <c r="A278" t="s">
        <v>318</v>
      </c>
      <c r="B278" t="s">
        <v>19</v>
      </c>
      <c r="C278" s="1">
        <v>44963</v>
      </c>
      <c r="D278" t="s">
        <v>40</v>
      </c>
      <c r="E278" t="s">
        <v>41</v>
      </c>
      <c r="F278" t="s">
        <v>42</v>
      </c>
      <c r="G278" t="s">
        <v>30</v>
      </c>
      <c r="H278">
        <v>32.18</v>
      </c>
      <c r="I278">
        <v>1185</v>
      </c>
      <c r="J278">
        <v>38133.300000000003</v>
      </c>
      <c r="K278" t="s">
        <v>24</v>
      </c>
    </row>
    <row r="279" spans="1:11" x14ac:dyDescent="0.35">
      <c r="A279" t="s">
        <v>319</v>
      </c>
      <c r="B279" t="s">
        <v>26</v>
      </c>
      <c r="C279" s="1">
        <v>44949</v>
      </c>
      <c r="D279" t="s">
        <v>34</v>
      </c>
      <c r="E279" t="s">
        <v>48</v>
      </c>
      <c r="F279" t="s">
        <v>49</v>
      </c>
      <c r="G279" t="s">
        <v>37</v>
      </c>
      <c r="H279">
        <v>45.69</v>
      </c>
      <c r="I279">
        <v>902</v>
      </c>
      <c r="J279">
        <v>41212.379999999997</v>
      </c>
      <c r="K279" t="s">
        <v>31</v>
      </c>
    </row>
    <row r="280" spans="1:11" x14ac:dyDescent="0.35">
      <c r="A280" t="s">
        <v>320</v>
      </c>
      <c r="B280" t="s">
        <v>33</v>
      </c>
      <c r="C280" s="1">
        <v>44997</v>
      </c>
      <c r="D280" t="s">
        <v>13</v>
      </c>
      <c r="E280" t="s">
        <v>14</v>
      </c>
      <c r="F280" t="s">
        <v>15</v>
      </c>
      <c r="G280" t="s">
        <v>16</v>
      </c>
      <c r="H280">
        <v>68.55</v>
      </c>
      <c r="I280">
        <v>1162</v>
      </c>
      <c r="J280">
        <v>79655.100000000006</v>
      </c>
      <c r="K280" t="s">
        <v>17</v>
      </c>
    </row>
    <row r="281" spans="1:11" x14ac:dyDescent="0.35">
      <c r="A281" t="s">
        <v>321</v>
      </c>
      <c r="B281" t="s">
        <v>39</v>
      </c>
      <c r="C281" s="1">
        <v>44975</v>
      </c>
      <c r="D281" t="s">
        <v>20</v>
      </c>
      <c r="E281" t="s">
        <v>21</v>
      </c>
      <c r="F281" t="s">
        <v>22</v>
      </c>
      <c r="G281" t="s">
        <v>44</v>
      </c>
      <c r="H281">
        <v>36.119999999999997</v>
      </c>
      <c r="I281">
        <v>978</v>
      </c>
      <c r="J281">
        <v>35325.360000000001</v>
      </c>
      <c r="K281" t="s">
        <v>24</v>
      </c>
    </row>
    <row r="282" spans="1:11" x14ac:dyDescent="0.35">
      <c r="A282" t="s">
        <v>322</v>
      </c>
      <c r="B282" t="s">
        <v>12</v>
      </c>
      <c r="C282" s="1">
        <v>44927</v>
      </c>
      <c r="D282" t="s">
        <v>27</v>
      </c>
      <c r="E282" t="s">
        <v>28</v>
      </c>
      <c r="F282" t="s">
        <v>29</v>
      </c>
      <c r="G282" t="s">
        <v>30</v>
      </c>
      <c r="H282">
        <v>53.67</v>
      </c>
      <c r="I282">
        <v>1065</v>
      </c>
      <c r="J282">
        <v>57158.55</v>
      </c>
      <c r="K282" t="s">
        <v>31</v>
      </c>
    </row>
    <row r="283" spans="1:11" x14ac:dyDescent="0.35">
      <c r="A283" t="s">
        <v>323</v>
      </c>
      <c r="B283" t="s">
        <v>19</v>
      </c>
      <c r="C283" s="1">
        <v>45003</v>
      </c>
      <c r="D283" t="s">
        <v>40</v>
      </c>
      <c r="E283" t="s">
        <v>41</v>
      </c>
      <c r="F283" t="s">
        <v>42</v>
      </c>
      <c r="G283" t="s">
        <v>37</v>
      </c>
      <c r="H283">
        <v>24.88</v>
      </c>
      <c r="I283">
        <v>632</v>
      </c>
      <c r="J283">
        <v>15724.16</v>
      </c>
      <c r="K283" t="s">
        <v>17</v>
      </c>
    </row>
    <row r="284" spans="1:11" x14ac:dyDescent="0.35">
      <c r="A284" t="s">
        <v>324</v>
      </c>
      <c r="B284" t="s">
        <v>26</v>
      </c>
      <c r="C284" s="1">
        <v>44965</v>
      </c>
      <c r="D284" t="s">
        <v>34</v>
      </c>
      <c r="E284" t="s">
        <v>35</v>
      </c>
      <c r="F284" t="s">
        <v>36</v>
      </c>
      <c r="G284" t="s">
        <v>16</v>
      </c>
      <c r="H284">
        <v>61.74</v>
      </c>
      <c r="I284">
        <v>904</v>
      </c>
      <c r="J284">
        <v>55812.959999999999</v>
      </c>
      <c r="K284" t="s">
        <v>24</v>
      </c>
    </row>
    <row r="285" spans="1:11" x14ac:dyDescent="0.35">
      <c r="A285" t="s">
        <v>325</v>
      </c>
      <c r="B285" t="s">
        <v>33</v>
      </c>
      <c r="C285" s="1">
        <v>44942</v>
      </c>
      <c r="D285" t="s">
        <v>13</v>
      </c>
      <c r="E285" t="s">
        <v>14</v>
      </c>
      <c r="F285" t="s">
        <v>15</v>
      </c>
      <c r="G285" t="s">
        <v>50</v>
      </c>
      <c r="H285">
        <v>44.36</v>
      </c>
      <c r="I285">
        <v>1131</v>
      </c>
      <c r="J285">
        <v>50171.16</v>
      </c>
      <c r="K285" t="s">
        <v>31</v>
      </c>
    </row>
    <row r="286" spans="1:11" x14ac:dyDescent="0.35">
      <c r="A286" t="s">
        <v>326</v>
      </c>
      <c r="B286" t="s">
        <v>39</v>
      </c>
      <c r="C286" s="1">
        <v>44992</v>
      </c>
      <c r="D286" t="s">
        <v>20</v>
      </c>
      <c r="E286" t="s">
        <v>21</v>
      </c>
      <c r="F286" t="s">
        <v>22</v>
      </c>
      <c r="G286" t="s">
        <v>30</v>
      </c>
      <c r="H286">
        <v>71.19</v>
      </c>
      <c r="I286">
        <v>887</v>
      </c>
      <c r="J286">
        <v>63145.53</v>
      </c>
      <c r="K286" t="s">
        <v>17</v>
      </c>
    </row>
    <row r="287" spans="1:11" x14ac:dyDescent="0.35">
      <c r="A287" t="s">
        <v>327</v>
      </c>
      <c r="B287" t="s">
        <v>12</v>
      </c>
      <c r="C287" s="1">
        <v>44979</v>
      </c>
      <c r="D287" t="s">
        <v>27</v>
      </c>
      <c r="E287" t="s">
        <v>28</v>
      </c>
      <c r="F287" t="s">
        <v>29</v>
      </c>
      <c r="G287" t="s">
        <v>23</v>
      </c>
      <c r="H287">
        <v>58.15</v>
      </c>
      <c r="I287">
        <v>979</v>
      </c>
      <c r="J287">
        <v>56928.85</v>
      </c>
      <c r="K287" t="s">
        <v>24</v>
      </c>
    </row>
    <row r="288" spans="1:11" x14ac:dyDescent="0.35">
      <c r="A288" t="s">
        <v>328</v>
      </c>
      <c r="B288" t="s">
        <v>19</v>
      </c>
      <c r="C288" s="1">
        <v>44947</v>
      </c>
      <c r="D288" t="s">
        <v>40</v>
      </c>
      <c r="E288" t="s">
        <v>41</v>
      </c>
      <c r="F288" t="s">
        <v>42</v>
      </c>
      <c r="G288" t="s">
        <v>30</v>
      </c>
      <c r="H288">
        <v>39.17</v>
      </c>
      <c r="I288">
        <v>1144</v>
      </c>
      <c r="J288">
        <v>44810.48</v>
      </c>
      <c r="K288" t="s">
        <v>31</v>
      </c>
    </row>
    <row r="289" spans="1:11" x14ac:dyDescent="0.35">
      <c r="A289" t="s">
        <v>329</v>
      </c>
      <c r="B289" t="s">
        <v>26</v>
      </c>
      <c r="C289" s="1">
        <v>44999</v>
      </c>
      <c r="D289" t="s">
        <v>34</v>
      </c>
      <c r="E289" t="s">
        <v>48</v>
      </c>
      <c r="F289" t="s">
        <v>49</v>
      </c>
      <c r="G289" t="s">
        <v>37</v>
      </c>
      <c r="H289">
        <v>80.680000000000007</v>
      </c>
      <c r="I289">
        <v>1037</v>
      </c>
      <c r="J289">
        <v>83665.16</v>
      </c>
      <c r="K289" t="s">
        <v>17</v>
      </c>
    </row>
    <row r="290" spans="1:11" x14ac:dyDescent="0.35">
      <c r="A290" t="s">
        <v>330</v>
      </c>
      <c r="B290" t="s">
        <v>33</v>
      </c>
      <c r="C290" s="1">
        <v>44968</v>
      </c>
      <c r="D290" t="s">
        <v>13</v>
      </c>
      <c r="E290" t="s">
        <v>14</v>
      </c>
      <c r="F290" t="s">
        <v>15</v>
      </c>
      <c r="G290" t="s">
        <v>16</v>
      </c>
      <c r="H290">
        <v>32.86</v>
      </c>
      <c r="I290">
        <v>1019</v>
      </c>
      <c r="J290">
        <v>33484.339999999997</v>
      </c>
      <c r="K290" t="s">
        <v>24</v>
      </c>
    </row>
    <row r="291" spans="1:11" x14ac:dyDescent="0.35">
      <c r="A291" t="s">
        <v>331</v>
      </c>
      <c r="B291" t="s">
        <v>39</v>
      </c>
      <c r="C291" s="1">
        <v>44935</v>
      </c>
      <c r="D291" t="s">
        <v>20</v>
      </c>
      <c r="E291" t="s">
        <v>21</v>
      </c>
      <c r="F291" t="s">
        <v>22</v>
      </c>
      <c r="G291" t="s">
        <v>44</v>
      </c>
      <c r="H291">
        <v>59.12</v>
      </c>
      <c r="I291">
        <v>752</v>
      </c>
      <c r="J291">
        <v>44458.239999999998</v>
      </c>
      <c r="K291" t="s">
        <v>31</v>
      </c>
    </row>
    <row r="292" spans="1:11" x14ac:dyDescent="0.35">
      <c r="A292" t="s">
        <v>332</v>
      </c>
      <c r="B292" t="s">
        <v>12</v>
      </c>
      <c r="C292" s="1">
        <v>44988</v>
      </c>
      <c r="D292" t="s">
        <v>27</v>
      </c>
      <c r="E292" t="s">
        <v>28</v>
      </c>
      <c r="F292" t="s">
        <v>29</v>
      </c>
      <c r="G292" t="s">
        <v>30</v>
      </c>
      <c r="H292">
        <v>45.33</v>
      </c>
      <c r="I292">
        <v>955</v>
      </c>
      <c r="J292">
        <v>43290.15</v>
      </c>
      <c r="K292" t="s">
        <v>17</v>
      </c>
    </row>
    <row r="293" spans="1:11" x14ac:dyDescent="0.35">
      <c r="A293" t="s">
        <v>333</v>
      </c>
      <c r="B293" t="s">
        <v>19</v>
      </c>
      <c r="C293" s="1">
        <v>44977</v>
      </c>
      <c r="D293" t="s">
        <v>40</v>
      </c>
      <c r="E293" t="s">
        <v>41</v>
      </c>
      <c r="F293" t="s">
        <v>42</v>
      </c>
      <c r="G293" t="s">
        <v>37</v>
      </c>
      <c r="H293">
        <v>26.17</v>
      </c>
      <c r="I293">
        <v>1022</v>
      </c>
      <c r="J293">
        <v>26745.74</v>
      </c>
      <c r="K293" t="s">
        <v>24</v>
      </c>
    </row>
    <row r="294" spans="1:11" x14ac:dyDescent="0.35">
      <c r="A294" t="s">
        <v>334</v>
      </c>
      <c r="B294" t="s">
        <v>26</v>
      </c>
      <c r="C294" s="1">
        <v>44928</v>
      </c>
      <c r="D294" t="s">
        <v>34</v>
      </c>
      <c r="E294" t="s">
        <v>35</v>
      </c>
      <c r="F294" t="s">
        <v>36</v>
      </c>
      <c r="G294" t="s">
        <v>16</v>
      </c>
      <c r="H294">
        <v>64.540000000000006</v>
      </c>
      <c r="I294">
        <v>1160</v>
      </c>
      <c r="J294">
        <v>74866.399999999994</v>
      </c>
      <c r="K294" t="s">
        <v>31</v>
      </c>
    </row>
    <row r="295" spans="1:11" x14ac:dyDescent="0.35">
      <c r="A295" t="s">
        <v>335</v>
      </c>
      <c r="B295" t="s">
        <v>33</v>
      </c>
      <c r="C295" s="1">
        <v>44996</v>
      </c>
      <c r="D295" t="s">
        <v>13</v>
      </c>
      <c r="E295" t="s">
        <v>14</v>
      </c>
      <c r="F295" t="s">
        <v>15</v>
      </c>
      <c r="G295" t="s">
        <v>50</v>
      </c>
      <c r="H295">
        <v>37.64</v>
      </c>
      <c r="I295">
        <v>1182</v>
      </c>
      <c r="J295">
        <v>44490.48</v>
      </c>
      <c r="K295" t="s">
        <v>17</v>
      </c>
    </row>
    <row r="296" spans="1:11" x14ac:dyDescent="0.35">
      <c r="A296" t="s">
        <v>336</v>
      </c>
      <c r="B296" t="s">
        <v>39</v>
      </c>
      <c r="C296" s="1">
        <v>44964</v>
      </c>
      <c r="D296" t="s">
        <v>20</v>
      </c>
      <c r="E296" t="s">
        <v>21</v>
      </c>
      <c r="F296" t="s">
        <v>22</v>
      </c>
      <c r="G296" t="s">
        <v>30</v>
      </c>
      <c r="H296">
        <v>55.29</v>
      </c>
      <c r="I296">
        <v>837</v>
      </c>
      <c r="J296">
        <v>46277.73</v>
      </c>
      <c r="K296" t="s">
        <v>24</v>
      </c>
    </row>
    <row r="297" spans="1:11" x14ac:dyDescent="0.35">
      <c r="A297" t="s">
        <v>337</v>
      </c>
      <c r="B297" t="s">
        <v>12</v>
      </c>
      <c r="C297" s="1">
        <v>44927</v>
      </c>
      <c r="D297" t="s">
        <v>27</v>
      </c>
      <c r="E297" t="s">
        <v>28</v>
      </c>
      <c r="F297" t="s">
        <v>29</v>
      </c>
      <c r="G297" t="s">
        <v>23</v>
      </c>
      <c r="H297">
        <v>29.12</v>
      </c>
      <c r="I297">
        <v>1095</v>
      </c>
      <c r="J297">
        <v>31886.400000000001</v>
      </c>
      <c r="K297" t="s">
        <v>31</v>
      </c>
    </row>
    <row r="298" spans="1:11" x14ac:dyDescent="0.35">
      <c r="A298" t="s">
        <v>338</v>
      </c>
      <c r="B298" t="s">
        <v>19</v>
      </c>
      <c r="C298" s="1">
        <v>45005</v>
      </c>
      <c r="D298" t="s">
        <v>40</v>
      </c>
      <c r="E298" t="s">
        <v>41</v>
      </c>
      <c r="F298" t="s">
        <v>42</v>
      </c>
      <c r="G298" t="s">
        <v>30</v>
      </c>
      <c r="H298">
        <v>48.78</v>
      </c>
      <c r="I298">
        <v>769</v>
      </c>
      <c r="J298">
        <v>37511.82</v>
      </c>
      <c r="K298" t="s">
        <v>17</v>
      </c>
    </row>
    <row r="299" spans="1:11" x14ac:dyDescent="0.35">
      <c r="A299" t="s">
        <v>339</v>
      </c>
      <c r="B299" t="s">
        <v>26</v>
      </c>
      <c r="C299" s="1">
        <v>44973</v>
      </c>
      <c r="D299" t="s">
        <v>34</v>
      </c>
      <c r="E299" t="s">
        <v>48</v>
      </c>
      <c r="F299" t="s">
        <v>49</v>
      </c>
      <c r="G299" t="s">
        <v>37</v>
      </c>
      <c r="H299">
        <v>62.4</v>
      </c>
      <c r="I299">
        <v>1082</v>
      </c>
      <c r="J299">
        <v>67516.800000000003</v>
      </c>
      <c r="K299" t="s">
        <v>24</v>
      </c>
    </row>
    <row r="300" spans="1:11" x14ac:dyDescent="0.35">
      <c r="A300" t="s">
        <v>340</v>
      </c>
      <c r="B300" t="s">
        <v>33</v>
      </c>
      <c r="C300" s="1">
        <v>44929</v>
      </c>
      <c r="D300" t="s">
        <v>13</v>
      </c>
      <c r="E300" t="s">
        <v>14</v>
      </c>
      <c r="F300" t="s">
        <v>15</v>
      </c>
      <c r="G300" t="s">
        <v>16</v>
      </c>
      <c r="H300">
        <v>38.29</v>
      </c>
      <c r="I300">
        <v>1021</v>
      </c>
      <c r="J300">
        <v>39094.089999999997</v>
      </c>
      <c r="K300" t="s">
        <v>31</v>
      </c>
    </row>
    <row r="301" spans="1:11" x14ac:dyDescent="0.35">
      <c r="A301" t="s">
        <v>341</v>
      </c>
      <c r="B301" t="s">
        <v>39</v>
      </c>
      <c r="C301" s="1">
        <v>45000</v>
      </c>
      <c r="D301" t="s">
        <v>20</v>
      </c>
      <c r="E301" t="s">
        <v>21</v>
      </c>
      <c r="F301" t="s">
        <v>22</v>
      </c>
      <c r="G301" t="s">
        <v>44</v>
      </c>
      <c r="H301">
        <v>83.42</v>
      </c>
      <c r="I301">
        <v>1159</v>
      </c>
      <c r="J301">
        <v>96683.78</v>
      </c>
      <c r="K301" t="s">
        <v>17</v>
      </c>
    </row>
    <row r="302" spans="1:11" x14ac:dyDescent="0.35">
      <c r="A302" t="s">
        <v>342</v>
      </c>
      <c r="B302" t="s">
        <v>12</v>
      </c>
      <c r="C302" s="1">
        <v>44967</v>
      </c>
      <c r="D302" t="s">
        <v>27</v>
      </c>
      <c r="E302" t="s">
        <v>28</v>
      </c>
      <c r="F302" t="s">
        <v>29</v>
      </c>
      <c r="G302" t="s">
        <v>30</v>
      </c>
      <c r="H302">
        <v>42.56</v>
      </c>
      <c r="I302">
        <v>745</v>
      </c>
      <c r="J302">
        <v>31707.200000000001</v>
      </c>
      <c r="K302" t="s">
        <v>24</v>
      </c>
    </row>
    <row r="303" spans="1:11" x14ac:dyDescent="0.35">
      <c r="A303" t="s">
        <v>343</v>
      </c>
      <c r="B303" t="s">
        <v>19</v>
      </c>
      <c r="C303" s="1">
        <v>44947</v>
      </c>
      <c r="D303" t="s">
        <v>40</v>
      </c>
      <c r="E303" t="s">
        <v>41</v>
      </c>
      <c r="F303" t="s">
        <v>42</v>
      </c>
      <c r="G303" t="s">
        <v>37</v>
      </c>
      <c r="H303">
        <v>32.11</v>
      </c>
      <c r="I303">
        <v>1176</v>
      </c>
      <c r="J303">
        <v>37761.360000000001</v>
      </c>
      <c r="K303" t="s">
        <v>31</v>
      </c>
    </row>
    <row r="304" spans="1:11" x14ac:dyDescent="0.35">
      <c r="A304" t="s">
        <v>344</v>
      </c>
      <c r="B304" t="s">
        <v>26</v>
      </c>
      <c r="C304" s="1">
        <v>44988</v>
      </c>
      <c r="D304" t="s">
        <v>34</v>
      </c>
      <c r="E304" t="s">
        <v>35</v>
      </c>
      <c r="F304" t="s">
        <v>36</v>
      </c>
      <c r="G304" t="s">
        <v>16</v>
      </c>
      <c r="H304">
        <v>53.78</v>
      </c>
      <c r="I304">
        <v>819</v>
      </c>
      <c r="J304">
        <v>44045.82</v>
      </c>
      <c r="K304" t="s">
        <v>17</v>
      </c>
    </row>
    <row r="305" spans="1:11" x14ac:dyDescent="0.35">
      <c r="A305" t="s">
        <v>345</v>
      </c>
      <c r="B305" t="s">
        <v>33</v>
      </c>
      <c r="C305" s="1">
        <v>44980</v>
      </c>
      <c r="D305" t="s">
        <v>13</v>
      </c>
      <c r="E305" t="s">
        <v>14</v>
      </c>
      <c r="F305" t="s">
        <v>15</v>
      </c>
      <c r="G305" t="s">
        <v>50</v>
      </c>
      <c r="H305">
        <v>45.91</v>
      </c>
      <c r="I305">
        <v>1082</v>
      </c>
      <c r="J305">
        <v>49674.62</v>
      </c>
      <c r="K305" t="s">
        <v>24</v>
      </c>
    </row>
    <row r="306" spans="1:11" x14ac:dyDescent="0.35">
      <c r="A306" t="s">
        <v>346</v>
      </c>
      <c r="B306" t="s">
        <v>39</v>
      </c>
      <c r="C306" s="1">
        <v>44940</v>
      </c>
      <c r="D306" t="s">
        <v>20</v>
      </c>
      <c r="E306" t="s">
        <v>21</v>
      </c>
      <c r="F306" t="s">
        <v>22</v>
      </c>
      <c r="G306" t="s">
        <v>30</v>
      </c>
      <c r="H306">
        <v>64.290000000000006</v>
      </c>
      <c r="I306">
        <v>1005</v>
      </c>
      <c r="J306">
        <v>64611.45</v>
      </c>
      <c r="K306" t="s">
        <v>31</v>
      </c>
    </row>
    <row r="307" spans="1:11" x14ac:dyDescent="0.35">
      <c r="A307" t="s">
        <v>347</v>
      </c>
      <c r="B307" t="s">
        <v>12</v>
      </c>
      <c r="C307" s="1">
        <v>44992</v>
      </c>
      <c r="D307" t="s">
        <v>27</v>
      </c>
      <c r="E307" t="s">
        <v>28</v>
      </c>
      <c r="F307" t="s">
        <v>29</v>
      </c>
      <c r="G307" t="s">
        <v>23</v>
      </c>
      <c r="H307">
        <v>26.39</v>
      </c>
      <c r="I307">
        <v>1088</v>
      </c>
      <c r="J307">
        <v>28712.32</v>
      </c>
      <c r="K307" t="s">
        <v>17</v>
      </c>
    </row>
    <row r="308" spans="1:11" x14ac:dyDescent="0.35">
      <c r="A308" t="s">
        <v>348</v>
      </c>
      <c r="B308" t="s">
        <v>19</v>
      </c>
      <c r="C308" s="1">
        <v>44985</v>
      </c>
      <c r="D308" t="s">
        <v>40</v>
      </c>
      <c r="E308" t="s">
        <v>41</v>
      </c>
      <c r="F308" t="s">
        <v>42</v>
      </c>
      <c r="G308" t="s">
        <v>30</v>
      </c>
      <c r="H308">
        <v>57.42</v>
      </c>
      <c r="I308">
        <v>940</v>
      </c>
      <c r="J308">
        <v>53974.8</v>
      </c>
      <c r="K308" t="s">
        <v>24</v>
      </c>
    </row>
    <row r="309" spans="1:11" x14ac:dyDescent="0.35">
      <c r="A309" t="s">
        <v>349</v>
      </c>
      <c r="B309" t="s">
        <v>26</v>
      </c>
      <c r="C309" s="1">
        <v>44935</v>
      </c>
      <c r="D309" t="s">
        <v>34</v>
      </c>
      <c r="E309" t="s">
        <v>48</v>
      </c>
      <c r="F309" t="s">
        <v>49</v>
      </c>
      <c r="G309" t="s">
        <v>37</v>
      </c>
      <c r="H309">
        <v>37.25</v>
      </c>
      <c r="I309">
        <v>1178</v>
      </c>
      <c r="J309">
        <v>43880.5</v>
      </c>
      <c r="K309" t="s">
        <v>31</v>
      </c>
    </row>
    <row r="310" spans="1:11" x14ac:dyDescent="0.35">
      <c r="A310" t="s">
        <v>350</v>
      </c>
      <c r="B310" t="s">
        <v>33</v>
      </c>
      <c r="C310" s="1">
        <v>45009</v>
      </c>
      <c r="D310" t="s">
        <v>13</v>
      </c>
      <c r="E310" t="s">
        <v>14</v>
      </c>
      <c r="F310" t="s">
        <v>15</v>
      </c>
      <c r="G310" t="s">
        <v>16</v>
      </c>
      <c r="H310">
        <v>68.53</v>
      </c>
      <c r="I310">
        <v>747</v>
      </c>
      <c r="J310">
        <v>51191.91</v>
      </c>
      <c r="K310" t="s">
        <v>17</v>
      </c>
    </row>
    <row r="311" spans="1:11" x14ac:dyDescent="0.35">
      <c r="A311" t="s">
        <v>351</v>
      </c>
      <c r="B311" t="s">
        <v>39</v>
      </c>
      <c r="C311" s="1">
        <v>44972</v>
      </c>
      <c r="D311" t="s">
        <v>20</v>
      </c>
      <c r="E311" t="s">
        <v>21</v>
      </c>
      <c r="F311" t="s">
        <v>22</v>
      </c>
      <c r="G311" t="s">
        <v>44</v>
      </c>
      <c r="H311">
        <v>24.09</v>
      </c>
      <c r="I311">
        <v>828</v>
      </c>
      <c r="J311">
        <v>19946.52</v>
      </c>
      <c r="K311" t="s">
        <v>24</v>
      </c>
    </row>
    <row r="312" spans="1:11" x14ac:dyDescent="0.35">
      <c r="A312" t="s">
        <v>352</v>
      </c>
      <c r="B312" t="s">
        <v>12</v>
      </c>
      <c r="C312" s="1">
        <v>44927</v>
      </c>
      <c r="D312" t="s">
        <v>27</v>
      </c>
      <c r="E312" t="s">
        <v>28</v>
      </c>
      <c r="F312" t="s">
        <v>29</v>
      </c>
      <c r="G312" t="s">
        <v>30</v>
      </c>
      <c r="H312">
        <v>40.229999999999997</v>
      </c>
      <c r="I312">
        <v>976</v>
      </c>
      <c r="J312">
        <v>39264.480000000003</v>
      </c>
      <c r="K312" t="s">
        <v>31</v>
      </c>
    </row>
    <row r="313" spans="1:11" x14ac:dyDescent="0.35">
      <c r="A313" t="s">
        <v>353</v>
      </c>
      <c r="B313" t="s">
        <v>19</v>
      </c>
      <c r="C313" s="1">
        <v>45005</v>
      </c>
      <c r="D313" t="s">
        <v>40</v>
      </c>
      <c r="E313" t="s">
        <v>41</v>
      </c>
      <c r="F313" t="s">
        <v>42</v>
      </c>
      <c r="G313" t="s">
        <v>37</v>
      </c>
      <c r="H313">
        <v>62.16</v>
      </c>
      <c r="I313">
        <v>1053</v>
      </c>
      <c r="J313">
        <v>65454.48</v>
      </c>
      <c r="K313" t="s">
        <v>17</v>
      </c>
    </row>
    <row r="314" spans="1:11" x14ac:dyDescent="0.35">
      <c r="A314" t="s">
        <v>354</v>
      </c>
      <c r="B314" t="s">
        <v>26</v>
      </c>
      <c r="C314" s="1">
        <v>44969</v>
      </c>
      <c r="D314" t="s">
        <v>34</v>
      </c>
      <c r="E314" t="s">
        <v>35</v>
      </c>
      <c r="F314" t="s">
        <v>36</v>
      </c>
      <c r="G314" t="s">
        <v>16</v>
      </c>
      <c r="H314">
        <v>32.64</v>
      </c>
      <c r="I314">
        <v>993</v>
      </c>
      <c r="J314">
        <v>32411.52</v>
      </c>
      <c r="K314" t="s">
        <v>24</v>
      </c>
    </row>
    <row r="315" spans="1:11" x14ac:dyDescent="0.35">
      <c r="A315" t="s">
        <v>355</v>
      </c>
      <c r="B315" t="s">
        <v>33</v>
      </c>
      <c r="C315" s="1">
        <v>44945</v>
      </c>
      <c r="D315" t="s">
        <v>13</v>
      </c>
      <c r="E315" t="s">
        <v>14</v>
      </c>
      <c r="F315" t="s">
        <v>15</v>
      </c>
      <c r="G315" t="s">
        <v>50</v>
      </c>
      <c r="H315">
        <v>55.82</v>
      </c>
      <c r="I315">
        <v>783</v>
      </c>
      <c r="J315">
        <v>43707.06</v>
      </c>
      <c r="K315" t="s">
        <v>31</v>
      </c>
    </row>
    <row r="316" spans="1:11" x14ac:dyDescent="0.35">
      <c r="A316" t="s">
        <v>356</v>
      </c>
      <c r="B316" t="s">
        <v>39</v>
      </c>
      <c r="C316" s="1">
        <v>44997</v>
      </c>
      <c r="D316" t="s">
        <v>20</v>
      </c>
      <c r="E316" t="s">
        <v>21</v>
      </c>
      <c r="F316" t="s">
        <v>22</v>
      </c>
      <c r="G316" t="s">
        <v>30</v>
      </c>
      <c r="H316">
        <v>39.479999999999997</v>
      </c>
      <c r="I316">
        <v>1072</v>
      </c>
      <c r="J316">
        <v>42322.559999999998</v>
      </c>
      <c r="K316" t="s">
        <v>17</v>
      </c>
    </row>
    <row r="317" spans="1:11" x14ac:dyDescent="0.35">
      <c r="A317" t="s">
        <v>357</v>
      </c>
      <c r="B317" t="s">
        <v>12</v>
      </c>
      <c r="C317" s="1">
        <v>44962</v>
      </c>
      <c r="D317" t="s">
        <v>27</v>
      </c>
      <c r="E317" t="s">
        <v>28</v>
      </c>
      <c r="F317" t="s">
        <v>29</v>
      </c>
      <c r="G317" t="s">
        <v>23</v>
      </c>
      <c r="H317">
        <v>27.81</v>
      </c>
      <c r="I317">
        <v>943</v>
      </c>
      <c r="J317">
        <v>26224.83</v>
      </c>
      <c r="K317" t="s">
        <v>24</v>
      </c>
    </row>
    <row r="318" spans="1:11" x14ac:dyDescent="0.35">
      <c r="A318" t="s">
        <v>358</v>
      </c>
      <c r="B318" t="s">
        <v>19</v>
      </c>
      <c r="C318" s="1">
        <v>44929</v>
      </c>
      <c r="D318" t="s">
        <v>40</v>
      </c>
      <c r="E318" t="s">
        <v>41</v>
      </c>
      <c r="F318" t="s">
        <v>42</v>
      </c>
      <c r="G318" t="s">
        <v>30</v>
      </c>
      <c r="H318">
        <v>65.38</v>
      </c>
      <c r="I318">
        <v>902</v>
      </c>
      <c r="J318">
        <v>58972.76</v>
      </c>
      <c r="K318" t="s">
        <v>31</v>
      </c>
    </row>
    <row r="319" spans="1:11" x14ac:dyDescent="0.35">
      <c r="A319" t="s">
        <v>359</v>
      </c>
      <c r="B319" t="s">
        <v>26</v>
      </c>
      <c r="C319" s="1">
        <v>45008</v>
      </c>
      <c r="D319" t="s">
        <v>34</v>
      </c>
      <c r="E319" t="s">
        <v>48</v>
      </c>
      <c r="F319" t="s">
        <v>49</v>
      </c>
      <c r="G319" t="s">
        <v>37</v>
      </c>
      <c r="H319">
        <v>32.14</v>
      </c>
      <c r="I319">
        <v>1153</v>
      </c>
      <c r="J319">
        <v>37057.42</v>
      </c>
      <c r="K319" t="s">
        <v>17</v>
      </c>
    </row>
    <row r="320" spans="1:11" x14ac:dyDescent="0.35">
      <c r="A320" t="s">
        <v>360</v>
      </c>
      <c r="B320" t="s">
        <v>33</v>
      </c>
      <c r="C320" s="1">
        <v>44972</v>
      </c>
      <c r="D320" t="s">
        <v>13</v>
      </c>
      <c r="E320" t="s">
        <v>14</v>
      </c>
      <c r="F320" t="s">
        <v>15</v>
      </c>
      <c r="G320" t="s">
        <v>16</v>
      </c>
      <c r="H320">
        <v>74.62</v>
      </c>
      <c r="I320">
        <v>781</v>
      </c>
      <c r="J320">
        <v>58278.22</v>
      </c>
      <c r="K320" t="s">
        <v>24</v>
      </c>
    </row>
    <row r="321" spans="1:11" x14ac:dyDescent="0.35">
      <c r="A321" t="s">
        <v>361</v>
      </c>
      <c r="B321" t="s">
        <v>39</v>
      </c>
      <c r="C321" s="1">
        <v>44935</v>
      </c>
      <c r="D321" t="s">
        <v>20</v>
      </c>
      <c r="E321" t="s">
        <v>21</v>
      </c>
      <c r="F321" t="s">
        <v>22</v>
      </c>
      <c r="G321" t="s">
        <v>44</v>
      </c>
      <c r="H321">
        <v>45.09</v>
      </c>
      <c r="I321">
        <v>1015</v>
      </c>
      <c r="J321">
        <v>45766.35</v>
      </c>
      <c r="K321" t="s">
        <v>31</v>
      </c>
    </row>
    <row r="322" spans="1:11" x14ac:dyDescent="0.35">
      <c r="A322" t="s">
        <v>362</v>
      </c>
      <c r="B322" t="s">
        <v>12</v>
      </c>
      <c r="C322" s="1">
        <v>44990</v>
      </c>
      <c r="D322" t="s">
        <v>27</v>
      </c>
      <c r="E322" t="s">
        <v>28</v>
      </c>
      <c r="F322" t="s">
        <v>29</v>
      </c>
      <c r="G322" t="s">
        <v>30</v>
      </c>
      <c r="H322">
        <v>27.47</v>
      </c>
      <c r="I322">
        <v>989</v>
      </c>
      <c r="J322">
        <v>27167.83</v>
      </c>
      <c r="K322" t="s">
        <v>17</v>
      </c>
    </row>
    <row r="323" spans="1:11" x14ac:dyDescent="0.35">
      <c r="A323" t="s">
        <v>363</v>
      </c>
      <c r="B323" t="s">
        <v>19</v>
      </c>
      <c r="C323" s="1">
        <v>44984</v>
      </c>
      <c r="D323" t="s">
        <v>40</v>
      </c>
      <c r="E323" t="s">
        <v>41</v>
      </c>
      <c r="F323" t="s">
        <v>42</v>
      </c>
      <c r="G323" t="s">
        <v>37</v>
      </c>
      <c r="H323">
        <v>58.28</v>
      </c>
      <c r="I323">
        <v>927</v>
      </c>
      <c r="J323">
        <v>54025.56</v>
      </c>
      <c r="K323" t="s">
        <v>24</v>
      </c>
    </row>
    <row r="324" spans="1:11" x14ac:dyDescent="0.35">
      <c r="A324" t="s">
        <v>364</v>
      </c>
      <c r="B324" t="s">
        <v>26</v>
      </c>
      <c r="C324" s="1">
        <v>44944</v>
      </c>
      <c r="D324" t="s">
        <v>34</v>
      </c>
      <c r="E324" t="s">
        <v>35</v>
      </c>
      <c r="F324" t="s">
        <v>36</v>
      </c>
      <c r="G324" t="s">
        <v>16</v>
      </c>
      <c r="H324">
        <v>35.96</v>
      </c>
      <c r="I324">
        <v>1134</v>
      </c>
      <c r="J324">
        <v>40778.639999999999</v>
      </c>
      <c r="K324" t="s">
        <v>31</v>
      </c>
    </row>
    <row r="325" spans="1:11" x14ac:dyDescent="0.35">
      <c r="A325" t="s">
        <v>365</v>
      </c>
      <c r="B325" t="s">
        <v>33</v>
      </c>
      <c r="C325" s="1">
        <v>44998</v>
      </c>
      <c r="D325" t="s">
        <v>13</v>
      </c>
      <c r="E325" t="s">
        <v>14</v>
      </c>
      <c r="F325" t="s">
        <v>15</v>
      </c>
      <c r="G325" t="s">
        <v>50</v>
      </c>
      <c r="H325">
        <v>43.09</v>
      </c>
      <c r="I325">
        <v>1057</v>
      </c>
      <c r="J325">
        <v>45546.13</v>
      </c>
      <c r="K325" t="s">
        <v>17</v>
      </c>
    </row>
    <row r="326" spans="1:11" x14ac:dyDescent="0.35">
      <c r="A326" t="s">
        <v>366</v>
      </c>
      <c r="B326" t="s">
        <v>39</v>
      </c>
      <c r="C326" s="1">
        <v>44962</v>
      </c>
      <c r="D326" t="s">
        <v>20</v>
      </c>
      <c r="E326" t="s">
        <v>21</v>
      </c>
      <c r="F326" t="s">
        <v>22</v>
      </c>
      <c r="G326" t="s">
        <v>30</v>
      </c>
      <c r="H326">
        <v>60.93</v>
      </c>
      <c r="I326">
        <v>759</v>
      </c>
      <c r="J326">
        <v>46245.87</v>
      </c>
      <c r="K326" t="s">
        <v>24</v>
      </c>
    </row>
    <row r="327" spans="1:11" x14ac:dyDescent="0.35">
      <c r="A327" t="s">
        <v>367</v>
      </c>
      <c r="B327" t="s">
        <v>12</v>
      </c>
      <c r="C327" s="1">
        <v>44952</v>
      </c>
      <c r="D327" t="s">
        <v>27</v>
      </c>
      <c r="E327" t="s">
        <v>28</v>
      </c>
      <c r="F327" t="s">
        <v>29</v>
      </c>
      <c r="G327" t="s">
        <v>23</v>
      </c>
      <c r="H327">
        <v>22.37</v>
      </c>
      <c r="I327">
        <v>1172</v>
      </c>
      <c r="J327">
        <v>26217.64</v>
      </c>
      <c r="K327" t="s">
        <v>31</v>
      </c>
    </row>
    <row r="328" spans="1:11" x14ac:dyDescent="0.35">
      <c r="A328" t="s">
        <v>368</v>
      </c>
      <c r="B328" t="s">
        <v>19</v>
      </c>
      <c r="C328" s="1">
        <v>45002</v>
      </c>
      <c r="D328" t="s">
        <v>40</v>
      </c>
      <c r="E328" t="s">
        <v>41</v>
      </c>
      <c r="F328" t="s">
        <v>42</v>
      </c>
      <c r="G328" t="s">
        <v>30</v>
      </c>
      <c r="H328">
        <v>38.26</v>
      </c>
      <c r="I328">
        <v>1002</v>
      </c>
      <c r="J328">
        <v>38336.519999999997</v>
      </c>
      <c r="K328" t="s">
        <v>17</v>
      </c>
    </row>
    <row r="329" spans="1:11" x14ac:dyDescent="0.35">
      <c r="A329" t="s">
        <v>369</v>
      </c>
      <c r="B329" t="s">
        <v>26</v>
      </c>
      <c r="C329" s="1">
        <v>44966</v>
      </c>
      <c r="D329" t="s">
        <v>34</v>
      </c>
      <c r="E329" t="s">
        <v>48</v>
      </c>
      <c r="F329" t="s">
        <v>49</v>
      </c>
      <c r="G329" t="s">
        <v>37</v>
      </c>
      <c r="H329">
        <v>54.28</v>
      </c>
      <c r="I329">
        <v>872</v>
      </c>
      <c r="J329">
        <v>47332.160000000003</v>
      </c>
      <c r="K329" t="s">
        <v>24</v>
      </c>
    </row>
    <row r="330" spans="1:11" x14ac:dyDescent="0.35">
      <c r="A330" t="s">
        <v>370</v>
      </c>
      <c r="B330" t="s">
        <v>33</v>
      </c>
      <c r="C330" s="1">
        <v>44928</v>
      </c>
      <c r="D330" t="s">
        <v>13</v>
      </c>
      <c r="E330" t="s">
        <v>14</v>
      </c>
      <c r="F330" t="s">
        <v>15</v>
      </c>
      <c r="G330" t="s">
        <v>16</v>
      </c>
      <c r="H330">
        <v>62.41</v>
      </c>
      <c r="I330">
        <v>918</v>
      </c>
      <c r="J330">
        <v>57292.38</v>
      </c>
      <c r="K330" t="s">
        <v>31</v>
      </c>
    </row>
    <row r="331" spans="1:11" x14ac:dyDescent="0.35">
      <c r="A331" t="s">
        <v>371</v>
      </c>
      <c r="B331" t="s">
        <v>39</v>
      </c>
      <c r="C331" s="1">
        <v>45007</v>
      </c>
      <c r="D331" t="s">
        <v>20</v>
      </c>
      <c r="E331" t="s">
        <v>21</v>
      </c>
      <c r="F331" t="s">
        <v>22</v>
      </c>
      <c r="G331" t="s">
        <v>44</v>
      </c>
      <c r="H331">
        <v>29.05</v>
      </c>
      <c r="I331">
        <v>1126</v>
      </c>
      <c r="J331">
        <v>32710.3</v>
      </c>
      <c r="K331" t="s">
        <v>17</v>
      </c>
    </row>
    <row r="332" spans="1:11" x14ac:dyDescent="0.35">
      <c r="A332" t="s">
        <v>372</v>
      </c>
      <c r="B332" t="s">
        <v>12</v>
      </c>
      <c r="C332" s="1">
        <v>44971</v>
      </c>
      <c r="D332" t="s">
        <v>27</v>
      </c>
      <c r="E332" t="s">
        <v>28</v>
      </c>
      <c r="F332" t="s">
        <v>29</v>
      </c>
      <c r="G332" t="s">
        <v>30</v>
      </c>
      <c r="H332">
        <v>48.64</v>
      </c>
      <c r="I332">
        <v>1068</v>
      </c>
      <c r="J332">
        <v>51947.519999999997</v>
      </c>
      <c r="K332" t="s">
        <v>24</v>
      </c>
    </row>
    <row r="333" spans="1:11" x14ac:dyDescent="0.35">
      <c r="A333" t="s">
        <v>373</v>
      </c>
      <c r="B333" t="s">
        <v>19</v>
      </c>
      <c r="C333" s="1">
        <v>44928</v>
      </c>
      <c r="D333" t="s">
        <v>40</v>
      </c>
      <c r="E333" t="s">
        <v>41</v>
      </c>
      <c r="F333" t="s">
        <v>42</v>
      </c>
      <c r="G333" t="s">
        <v>37</v>
      </c>
      <c r="H333">
        <v>67.92</v>
      </c>
      <c r="I333">
        <v>822</v>
      </c>
      <c r="J333">
        <v>55830.239999999998</v>
      </c>
      <c r="K333" t="s">
        <v>31</v>
      </c>
    </row>
    <row r="334" spans="1:11" x14ac:dyDescent="0.35">
      <c r="A334" t="s">
        <v>374</v>
      </c>
      <c r="B334" t="s">
        <v>26</v>
      </c>
      <c r="C334" s="1">
        <v>44998</v>
      </c>
      <c r="D334" t="s">
        <v>34</v>
      </c>
      <c r="E334" t="s">
        <v>35</v>
      </c>
      <c r="F334" t="s">
        <v>36</v>
      </c>
      <c r="G334" t="s">
        <v>16</v>
      </c>
      <c r="H334">
        <v>41.58</v>
      </c>
      <c r="I334">
        <v>1091</v>
      </c>
      <c r="J334">
        <v>45363.78</v>
      </c>
      <c r="K334" t="s">
        <v>17</v>
      </c>
    </row>
    <row r="335" spans="1:11" x14ac:dyDescent="0.35">
      <c r="A335" t="s">
        <v>375</v>
      </c>
      <c r="B335" t="s">
        <v>33</v>
      </c>
      <c r="C335" s="1">
        <v>44983</v>
      </c>
      <c r="D335" t="s">
        <v>13</v>
      </c>
      <c r="E335" t="s">
        <v>14</v>
      </c>
      <c r="F335" t="s">
        <v>15</v>
      </c>
      <c r="G335" t="s">
        <v>50</v>
      </c>
      <c r="H335">
        <v>23.64</v>
      </c>
      <c r="I335">
        <v>1123</v>
      </c>
      <c r="J335">
        <v>26547.72</v>
      </c>
      <c r="K335" t="s">
        <v>24</v>
      </c>
    </row>
    <row r="336" spans="1:11" x14ac:dyDescent="0.35">
      <c r="A336" t="s">
        <v>376</v>
      </c>
      <c r="B336" t="s">
        <v>39</v>
      </c>
      <c r="C336" s="1">
        <v>44950</v>
      </c>
      <c r="D336" t="s">
        <v>20</v>
      </c>
      <c r="E336" t="s">
        <v>21</v>
      </c>
      <c r="F336" t="s">
        <v>22</v>
      </c>
      <c r="G336" t="s">
        <v>30</v>
      </c>
      <c r="H336">
        <v>44.39</v>
      </c>
      <c r="I336">
        <v>904</v>
      </c>
      <c r="J336">
        <v>40128.559999999998</v>
      </c>
      <c r="K336" t="s">
        <v>31</v>
      </c>
    </row>
    <row r="337" spans="1:11" x14ac:dyDescent="0.35">
      <c r="A337" t="s">
        <v>377</v>
      </c>
      <c r="B337" t="s">
        <v>12</v>
      </c>
      <c r="C337" s="1">
        <v>45004</v>
      </c>
      <c r="D337" t="s">
        <v>27</v>
      </c>
      <c r="E337" t="s">
        <v>28</v>
      </c>
      <c r="F337" t="s">
        <v>29</v>
      </c>
      <c r="G337" t="s">
        <v>23</v>
      </c>
      <c r="H337">
        <v>75.459999999999994</v>
      </c>
      <c r="I337">
        <v>726</v>
      </c>
      <c r="J337">
        <v>54783.96</v>
      </c>
      <c r="K337" t="s">
        <v>17</v>
      </c>
    </row>
    <row r="338" spans="1:11" x14ac:dyDescent="0.35">
      <c r="A338" t="s">
        <v>378</v>
      </c>
      <c r="B338" t="s">
        <v>19</v>
      </c>
      <c r="C338" s="1">
        <v>44964</v>
      </c>
      <c r="D338" t="s">
        <v>40</v>
      </c>
      <c r="E338" t="s">
        <v>41</v>
      </c>
      <c r="F338" t="s">
        <v>42</v>
      </c>
      <c r="G338" t="s">
        <v>30</v>
      </c>
      <c r="H338">
        <v>35.229999999999997</v>
      </c>
      <c r="I338">
        <v>1098</v>
      </c>
      <c r="J338">
        <v>38682.54</v>
      </c>
      <c r="K338" t="s">
        <v>24</v>
      </c>
    </row>
    <row r="339" spans="1:11" x14ac:dyDescent="0.35">
      <c r="A339" t="s">
        <v>379</v>
      </c>
      <c r="B339" t="s">
        <v>26</v>
      </c>
      <c r="C339" s="1">
        <v>44957</v>
      </c>
      <c r="D339" t="s">
        <v>34</v>
      </c>
      <c r="E339" t="s">
        <v>48</v>
      </c>
      <c r="F339" t="s">
        <v>49</v>
      </c>
      <c r="G339" t="s">
        <v>37</v>
      </c>
      <c r="H339">
        <v>60.12</v>
      </c>
      <c r="I339">
        <v>844</v>
      </c>
      <c r="J339">
        <v>50741.279999999999</v>
      </c>
      <c r="K339" t="s">
        <v>31</v>
      </c>
    </row>
    <row r="340" spans="1:11" x14ac:dyDescent="0.35">
      <c r="A340" t="s">
        <v>380</v>
      </c>
      <c r="B340" t="s">
        <v>33</v>
      </c>
      <c r="C340" s="1">
        <v>45001</v>
      </c>
      <c r="D340" t="s">
        <v>13</v>
      </c>
      <c r="E340" t="s">
        <v>14</v>
      </c>
      <c r="F340" t="s">
        <v>15</v>
      </c>
      <c r="G340" t="s">
        <v>16</v>
      </c>
      <c r="H340">
        <v>34.92</v>
      </c>
      <c r="I340">
        <v>965</v>
      </c>
      <c r="J340">
        <v>33697.800000000003</v>
      </c>
      <c r="K340" t="s">
        <v>17</v>
      </c>
    </row>
    <row r="341" spans="1:11" x14ac:dyDescent="0.35">
      <c r="A341" t="s">
        <v>381</v>
      </c>
      <c r="B341" t="s">
        <v>39</v>
      </c>
      <c r="C341" s="1">
        <v>44974</v>
      </c>
      <c r="D341" t="s">
        <v>20</v>
      </c>
      <c r="E341" t="s">
        <v>21</v>
      </c>
      <c r="F341" t="s">
        <v>22</v>
      </c>
      <c r="G341" t="s">
        <v>44</v>
      </c>
      <c r="H341">
        <v>49.38</v>
      </c>
      <c r="I341">
        <v>1023</v>
      </c>
      <c r="J341">
        <v>50515.74</v>
      </c>
      <c r="K341" t="s">
        <v>24</v>
      </c>
    </row>
    <row r="342" spans="1:11" x14ac:dyDescent="0.35">
      <c r="A342" t="s">
        <v>382</v>
      </c>
      <c r="B342" t="s">
        <v>12</v>
      </c>
      <c r="C342" s="1">
        <v>44939</v>
      </c>
      <c r="D342" t="s">
        <v>27</v>
      </c>
      <c r="E342" t="s">
        <v>28</v>
      </c>
      <c r="F342" t="s">
        <v>29</v>
      </c>
      <c r="G342" t="s">
        <v>30</v>
      </c>
      <c r="H342">
        <v>29.44</v>
      </c>
      <c r="I342">
        <v>1170</v>
      </c>
      <c r="J342">
        <v>34444.800000000003</v>
      </c>
      <c r="K342" t="s">
        <v>31</v>
      </c>
    </row>
    <row r="343" spans="1:11" x14ac:dyDescent="0.35">
      <c r="A343" t="s">
        <v>383</v>
      </c>
      <c r="B343" t="s">
        <v>19</v>
      </c>
      <c r="C343" s="1">
        <v>44995</v>
      </c>
      <c r="D343" t="s">
        <v>40</v>
      </c>
      <c r="E343" t="s">
        <v>41</v>
      </c>
      <c r="F343" t="s">
        <v>42</v>
      </c>
      <c r="G343" t="s">
        <v>37</v>
      </c>
      <c r="H343">
        <v>57.13</v>
      </c>
      <c r="I343">
        <v>1081</v>
      </c>
      <c r="J343">
        <v>61757.53</v>
      </c>
      <c r="K343" t="s">
        <v>17</v>
      </c>
    </row>
    <row r="344" spans="1:11" x14ac:dyDescent="0.35">
      <c r="A344" t="s">
        <v>384</v>
      </c>
      <c r="B344" t="s">
        <v>26</v>
      </c>
      <c r="C344" s="1">
        <v>44960</v>
      </c>
      <c r="D344" t="s">
        <v>34</v>
      </c>
      <c r="E344" t="s">
        <v>35</v>
      </c>
      <c r="F344" t="s">
        <v>36</v>
      </c>
      <c r="G344" t="s">
        <v>16</v>
      </c>
      <c r="H344">
        <v>42.96</v>
      </c>
      <c r="I344">
        <v>948</v>
      </c>
      <c r="J344">
        <v>40726.080000000002</v>
      </c>
      <c r="K344" t="s">
        <v>24</v>
      </c>
    </row>
    <row r="345" spans="1:11" x14ac:dyDescent="0.35">
      <c r="A345" t="s">
        <v>385</v>
      </c>
      <c r="B345" t="s">
        <v>33</v>
      </c>
      <c r="C345" s="1">
        <v>44951</v>
      </c>
      <c r="D345" t="s">
        <v>13</v>
      </c>
      <c r="E345" t="s">
        <v>14</v>
      </c>
      <c r="F345" t="s">
        <v>15</v>
      </c>
      <c r="G345" t="s">
        <v>50</v>
      </c>
      <c r="H345">
        <v>29.68</v>
      </c>
      <c r="I345">
        <v>968</v>
      </c>
      <c r="J345">
        <v>28730.240000000002</v>
      </c>
      <c r="K345" t="s">
        <v>31</v>
      </c>
    </row>
    <row r="346" spans="1:11" x14ac:dyDescent="0.35">
      <c r="A346" t="s">
        <v>386</v>
      </c>
      <c r="B346" t="s">
        <v>39</v>
      </c>
      <c r="C346" s="1">
        <v>44999</v>
      </c>
      <c r="D346" t="s">
        <v>20</v>
      </c>
      <c r="E346" t="s">
        <v>21</v>
      </c>
      <c r="F346" t="s">
        <v>22</v>
      </c>
      <c r="G346" t="s">
        <v>30</v>
      </c>
      <c r="H346">
        <v>69.430000000000007</v>
      </c>
      <c r="I346">
        <v>803</v>
      </c>
      <c r="J346">
        <v>55752.29</v>
      </c>
      <c r="K346" t="s">
        <v>17</v>
      </c>
    </row>
    <row r="347" spans="1:11" x14ac:dyDescent="0.35">
      <c r="A347" t="s">
        <v>387</v>
      </c>
      <c r="B347" t="s">
        <v>12</v>
      </c>
      <c r="C347" s="1">
        <v>44964</v>
      </c>
      <c r="D347" t="s">
        <v>27</v>
      </c>
      <c r="E347" t="s">
        <v>28</v>
      </c>
      <c r="F347" t="s">
        <v>29</v>
      </c>
      <c r="G347" t="s">
        <v>23</v>
      </c>
      <c r="H347">
        <v>43.82</v>
      </c>
      <c r="I347">
        <v>1085</v>
      </c>
      <c r="J347">
        <v>47544.7</v>
      </c>
      <c r="K347" t="s">
        <v>24</v>
      </c>
    </row>
    <row r="348" spans="1:11" x14ac:dyDescent="0.35">
      <c r="A348" t="s">
        <v>388</v>
      </c>
      <c r="B348" t="s">
        <v>19</v>
      </c>
      <c r="C348" s="1">
        <v>44927</v>
      </c>
      <c r="D348" t="s">
        <v>40</v>
      </c>
      <c r="E348" t="s">
        <v>41</v>
      </c>
      <c r="F348" t="s">
        <v>42</v>
      </c>
      <c r="G348" t="s">
        <v>30</v>
      </c>
      <c r="H348">
        <v>30.76</v>
      </c>
      <c r="I348">
        <v>954</v>
      </c>
      <c r="J348">
        <v>29345.040000000001</v>
      </c>
      <c r="K348" t="s">
        <v>31</v>
      </c>
    </row>
    <row r="349" spans="1:11" x14ac:dyDescent="0.35">
      <c r="A349" t="s">
        <v>389</v>
      </c>
      <c r="B349" t="s">
        <v>26</v>
      </c>
      <c r="C349" s="1">
        <v>44990</v>
      </c>
      <c r="D349" t="s">
        <v>34</v>
      </c>
      <c r="E349" t="s">
        <v>48</v>
      </c>
      <c r="F349" t="s">
        <v>49</v>
      </c>
      <c r="G349" t="s">
        <v>37</v>
      </c>
      <c r="H349">
        <v>53.29</v>
      </c>
      <c r="I349">
        <v>1112</v>
      </c>
      <c r="J349">
        <v>59258.48</v>
      </c>
      <c r="K349" t="s">
        <v>17</v>
      </c>
    </row>
    <row r="350" spans="1:11" x14ac:dyDescent="0.35">
      <c r="A350" t="s">
        <v>390</v>
      </c>
      <c r="B350" t="s">
        <v>33</v>
      </c>
      <c r="C350" s="1">
        <v>44981</v>
      </c>
      <c r="D350" t="s">
        <v>13</v>
      </c>
      <c r="E350" t="s">
        <v>14</v>
      </c>
      <c r="F350" t="s">
        <v>15</v>
      </c>
      <c r="G350" t="s">
        <v>16</v>
      </c>
      <c r="H350">
        <v>63.74</v>
      </c>
      <c r="I350">
        <v>825</v>
      </c>
      <c r="J350">
        <v>52585.5</v>
      </c>
      <c r="K350" t="s">
        <v>24</v>
      </c>
    </row>
    <row r="351" spans="1:11" x14ac:dyDescent="0.35">
      <c r="A351" t="s">
        <v>391</v>
      </c>
      <c r="B351" t="s">
        <v>39</v>
      </c>
      <c r="C351" s="1">
        <v>44945</v>
      </c>
      <c r="D351" t="s">
        <v>20</v>
      </c>
      <c r="E351" t="s">
        <v>21</v>
      </c>
      <c r="F351" t="s">
        <v>22</v>
      </c>
      <c r="G351" t="s">
        <v>44</v>
      </c>
      <c r="H351">
        <v>37.81</v>
      </c>
      <c r="I351">
        <v>975</v>
      </c>
      <c r="J351">
        <v>36864.75</v>
      </c>
      <c r="K351" t="s">
        <v>31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CBDC6-3E44-48A5-AB73-EDC198BE155E}">
  <dimension ref="A1"/>
  <sheetViews>
    <sheetView workbookViewId="0"/>
  </sheetViews>
  <sheetFormatPr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366BA-156F-4496-9A24-8012E9D867A7}">
  <sheetPr>
    <tabColor rgb="FFFF0000"/>
  </sheetPr>
  <dimension ref="A1:T34"/>
  <sheetViews>
    <sheetView showGridLines="0" showRowColHeaders="0" tabSelected="1" workbookViewId="0">
      <selection activeCell="P9" sqref="P9"/>
    </sheetView>
  </sheetViews>
  <sheetFormatPr defaultColWidth="0" defaultRowHeight="14.5" zeroHeight="1" x14ac:dyDescent="0.35"/>
  <cols>
    <col min="1" max="20" width="8.7265625" style="6" customWidth="1"/>
    <col min="21" max="16384" width="8.7265625" style="6" hidden="1"/>
  </cols>
  <sheetData>
    <row r="1" spans="20:20" x14ac:dyDescent="0.35">
      <c r="T1" s="6" t="s">
        <v>433</v>
      </c>
    </row>
    <row r="2" spans="20:20" x14ac:dyDescent="0.35"/>
    <row r="3" spans="20:20" x14ac:dyDescent="0.35"/>
    <row r="4" spans="20:20" x14ac:dyDescent="0.35"/>
    <row r="5" spans="20:20" x14ac:dyDescent="0.35"/>
    <row r="6" spans="20:20" x14ac:dyDescent="0.35"/>
    <row r="7" spans="20:20" x14ac:dyDescent="0.35"/>
    <row r="8" spans="20:20" x14ac:dyDescent="0.35"/>
    <row r="9" spans="20:20" x14ac:dyDescent="0.35"/>
    <row r="10" spans="20:20" x14ac:dyDescent="0.35"/>
    <row r="11" spans="20:20" x14ac:dyDescent="0.35"/>
    <row r="12" spans="20:20" x14ac:dyDescent="0.35"/>
    <row r="13" spans="20:20" x14ac:dyDescent="0.35"/>
    <row r="14" spans="20:20" x14ac:dyDescent="0.35"/>
    <row r="15" spans="20:20" x14ac:dyDescent="0.35"/>
    <row r="16" spans="20:20" x14ac:dyDescent="0.35"/>
    <row r="17" s="6" customFormat="1" x14ac:dyDescent="0.35"/>
    <row r="18" s="6" customFormat="1" x14ac:dyDescent="0.35"/>
    <row r="19" s="6" customFormat="1" x14ac:dyDescent="0.35"/>
    <row r="20" s="6" customFormat="1" x14ac:dyDescent="0.35"/>
    <row r="21" s="6" customFormat="1" x14ac:dyDescent="0.35"/>
    <row r="22" s="6" customFormat="1" x14ac:dyDescent="0.35"/>
    <row r="23" s="6" customFormat="1" x14ac:dyDescent="0.35"/>
    <row r="24" s="6" customFormat="1" x14ac:dyDescent="0.35"/>
    <row r="25" s="6" customFormat="1" x14ac:dyDescent="0.35"/>
    <row r="26" s="6" customFormat="1" x14ac:dyDescent="0.35"/>
    <row r="27" s="6" customFormat="1" x14ac:dyDescent="0.35"/>
    <row r="28" s="6" customFormat="1" x14ac:dyDescent="0.35"/>
    <row r="29" s="6" customFormat="1" x14ac:dyDescent="0.35"/>
    <row r="30" s="6" customFormat="1" x14ac:dyDescent="0.35"/>
    <row r="31" s="6" customFormat="1" x14ac:dyDescent="0.35"/>
    <row r="32" s="6" customFormat="1" x14ac:dyDescent="0.35"/>
    <row r="33" spans="2:2" x14ac:dyDescent="0.35"/>
    <row r="34" spans="2:2" hidden="1" x14ac:dyDescent="0.35">
      <c r="B34" s="6" t="s">
        <v>420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0C28DC0-0BA1-4205-882F-839BCE3F09C3}">
  <ds:schemaRefs>
    <ds:schemaRef ds:uri="http://schemas.microsoft.com/DataMashup"/>
  </ds:schemaRefs>
</ds:datastoreItem>
</file>

<file path=customXml/itemProps2.xml><?xml version="1.0" encoding="utf-8"?>
<ds:datastoreItem xmlns:ds="http://schemas.openxmlformats.org/officeDocument/2006/customXml" ds:itemID="{4C44505C-E82D-4B46-890C-97565AAC0616}">
  <ds:schemaRefs/>
</ds:datastoreItem>
</file>

<file path=customXml/itemProps3.xml><?xml version="1.0" encoding="utf-8"?>
<ds:datastoreItem xmlns:ds="http://schemas.openxmlformats.org/officeDocument/2006/customXml" ds:itemID="{E76C35C2-7F44-4874-B2BF-0C1B5D02E6B8}">
  <ds:schemaRefs/>
</ds:datastoreItem>
</file>

<file path=customXml/itemProps4.xml><?xml version="1.0" encoding="utf-8"?>
<ds:datastoreItem xmlns:ds="http://schemas.openxmlformats.org/officeDocument/2006/customXml" ds:itemID="{CD2BA56D-3948-4D69-BF61-ED753814B2A1}">
  <ds:schemaRefs/>
</ds:datastoreItem>
</file>

<file path=customXml/itemProps5.xml><?xml version="1.0" encoding="utf-8"?>
<ds:datastoreItem xmlns:ds="http://schemas.openxmlformats.org/officeDocument/2006/customXml" ds:itemID="{0B63F7F7-00A9-4A6B-A420-894AE24DCDA1}">
  <ds:schemaRefs/>
</ds:datastoreItem>
</file>

<file path=customXml/itemProps6.xml><?xml version="1.0" encoding="utf-8"?>
<ds:datastoreItem xmlns:ds="http://schemas.openxmlformats.org/officeDocument/2006/customXml" ds:itemID="{1727C40D-609F-4A29-97FA-CBA584C2A07B}">
  <ds:schemaRefs/>
</ds:datastoreItem>
</file>

<file path=customXml/itemProps7.xml><?xml version="1.0" encoding="utf-8"?>
<ds:datastoreItem xmlns:ds="http://schemas.openxmlformats.org/officeDocument/2006/customXml" ds:itemID="{F4071271-D04E-48C2-B627-447A6C1A41C0}">
  <ds:schemaRefs/>
</ds:datastoreItem>
</file>

<file path=customXml/itemProps8.xml><?xml version="1.0" encoding="utf-8"?>
<ds:datastoreItem xmlns:ds="http://schemas.openxmlformats.org/officeDocument/2006/customXml" ds:itemID="{5FABD1C0-B970-4648-8784-2C862B46CBA5}">
  <ds:schemaRefs/>
</ds:datastoreItem>
</file>

<file path=customXml/itemProps9.xml><?xml version="1.0" encoding="utf-8"?>
<ds:datastoreItem xmlns:ds="http://schemas.openxmlformats.org/officeDocument/2006/customXml" ds:itemID="{9F58C2D4-9218-45E5-8E99-A6B2A25F8702}">
  <ds:schemaRefs/>
</ds:datastoreItem>
</file>

<file path=customXml/itemProps10.xml><?xml version="1.0" encoding="utf-8"?>
<ds:datastoreItem xmlns:ds="http://schemas.openxmlformats.org/officeDocument/2006/customXml" ds:itemID="{84A7CBF8-E0D4-413E-8602-99DF1079771B}">
  <ds:schemaRefs/>
</ds:datastoreItem>
</file>

<file path=customXml/itemProps11.xml><?xml version="1.0" encoding="utf-8"?>
<ds:datastoreItem xmlns:ds="http://schemas.openxmlformats.org/officeDocument/2006/customXml" ds:itemID="{F2A6B20F-D2D8-4C98-B888-BED8470BE4A7}">
  <ds:schemaRefs/>
</ds:datastoreItem>
</file>

<file path=customXml/itemProps12.xml><?xml version="1.0" encoding="utf-8"?>
<ds:datastoreItem xmlns:ds="http://schemas.openxmlformats.org/officeDocument/2006/customXml" ds:itemID="{CA3F39A2-B36B-42FD-8871-DD0296929C33}">
  <ds:schemaRefs/>
</ds:datastoreItem>
</file>

<file path=customXml/itemProps13.xml><?xml version="1.0" encoding="utf-8"?>
<ds:datastoreItem xmlns:ds="http://schemas.openxmlformats.org/officeDocument/2006/customXml" ds:itemID="{925B4E69-561F-4D71-AFC5-89579D546965}">
  <ds:schemaRefs/>
</ds:datastoreItem>
</file>

<file path=customXml/itemProps14.xml><?xml version="1.0" encoding="utf-8"?>
<ds:datastoreItem xmlns:ds="http://schemas.openxmlformats.org/officeDocument/2006/customXml" ds:itemID="{79990D78-B96C-474D-85FC-1B9E0CF13002}">
  <ds:schemaRefs/>
</ds:datastoreItem>
</file>

<file path=customXml/itemProps15.xml><?xml version="1.0" encoding="utf-8"?>
<ds:datastoreItem xmlns:ds="http://schemas.openxmlformats.org/officeDocument/2006/customXml" ds:itemID="{BD05006C-232E-4712-8161-83807CF3E1A0}">
  <ds:schemaRefs/>
</ds:datastoreItem>
</file>

<file path=customXml/itemProps16.xml><?xml version="1.0" encoding="utf-8"?>
<ds:datastoreItem xmlns:ds="http://schemas.openxmlformats.org/officeDocument/2006/customXml" ds:itemID="{07A86A78-14BA-45EE-B24E-D15A4476E81C}">
  <ds:schemaRefs/>
</ds:datastoreItem>
</file>

<file path=customXml/itemProps17.xml><?xml version="1.0" encoding="utf-8"?>
<ds:datastoreItem xmlns:ds="http://schemas.openxmlformats.org/officeDocument/2006/customXml" ds:itemID="{AEDED8AC-8985-4759-BCF9-BAB96D01440F}">
  <ds:schemaRefs/>
</ds:datastoreItem>
</file>

<file path=customXml/itemProps18.xml><?xml version="1.0" encoding="utf-8"?>
<ds:datastoreItem xmlns:ds="http://schemas.openxmlformats.org/officeDocument/2006/customXml" ds:itemID="{EEE1D6CD-2EC0-4F2F-AAAC-7F6EFB2DCCE6}">
  <ds:schemaRefs/>
</ds:datastoreItem>
</file>

<file path=customXml/itemProps19.xml><?xml version="1.0" encoding="utf-8"?>
<ds:datastoreItem xmlns:ds="http://schemas.openxmlformats.org/officeDocument/2006/customXml" ds:itemID="{AB2DC3F9-ACC8-438B-A18B-33DC544A8EEF}">
  <ds:schemaRefs/>
</ds:datastoreItem>
</file>

<file path=customXml/itemProps20.xml><?xml version="1.0" encoding="utf-8"?>
<ds:datastoreItem xmlns:ds="http://schemas.openxmlformats.org/officeDocument/2006/customXml" ds:itemID="{5B3E8E9A-27C2-4F6E-B589-53F1B12F5550}">
  <ds:schemaRefs/>
</ds:datastoreItem>
</file>

<file path=customXml/itemProps21.xml><?xml version="1.0" encoding="utf-8"?>
<ds:datastoreItem xmlns:ds="http://schemas.openxmlformats.org/officeDocument/2006/customXml" ds:itemID="{F229207E-1311-4AD4-B8D8-CDB312782AD2}">
  <ds:schemaRefs/>
</ds:datastoreItem>
</file>

<file path=customXml/itemProps22.xml><?xml version="1.0" encoding="utf-8"?>
<ds:datastoreItem xmlns:ds="http://schemas.openxmlformats.org/officeDocument/2006/customXml" ds:itemID="{FCBF3C69-7D7D-4728-B1F0-B2251E2CD7D5}">
  <ds:schemaRefs/>
</ds:datastoreItem>
</file>

<file path=customXml/itemProps23.xml><?xml version="1.0" encoding="utf-8"?>
<ds:datastoreItem xmlns:ds="http://schemas.openxmlformats.org/officeDocument/2006/customXml" ds:itemID="{6D62F3D3-27F5-4EBC-8EF6-560ABA869F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Revenue by Day of the Week</vt:lpstr>
      <vt:lpstr>Revenue by Retailer</vt:lpstr>
      <vt:lpstr>Revenue By sales Method</vt:lpstr>
      <vt:lpstr>Revenue By Product by Region</vt:lpstr>
      <vt:lpstr>Revenue By year By Month</vt:lpstr>
      <vt:lpstr>Revenue By Year</vt:lpstr>
      <vt:lpstr>Sheet1</vt:lpstr>
      <vt:lpstr>KPI</vt:lpstr>
      <vt:lpstr>Dataset</vt:lpstr>
      <vt:lpstr>Sheet11</vt:lpstr>
      <vt:lpstr>Marina Mall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Daberechi Enyinnaya</dc:creator>
  <cp:lastModifiedBy>Daberechi Enyinnaya</cp:lastModifiedBy>
  <dcterms:created xsi:type="dcterms:W3CDTF">2024-07-16T08:31:17Z</dcterms:created>
  <dcterms:modified xsi:type="dcterms:W3CDTF">2025-10-08T10:57:04Z</dcterms:modified>
</cp:coreProperties>
</file>